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showInkAnnotation="0" autoCompressPictures="0"/>
  <mc:AlternateContent xmlns:mc="http://schemas.openxmlformats.org/markup-compatibility/2006">
    <mc:Choice Requires="x15">
      <x15ac:absPath xmlns:x15ac="http://schemas.microsoft.com/office/spreadsheetml/2010/11/ac" url="https://cdhmalawi-my.sharepoint.com/personal/nmedi_cdh-malawi_com/Documents/Desktop/TEMP MAINSERVER/ADMIN/Apraisals/2025 Appaisals/"/>
    </mc:Choice>
  </mc:AlternateContent>
  <xr:revisionPtr revIDLastSave="70" documentId="13_ncr:1_{A10D59CB-08ED-4DF4-B563-2F38897197B6}" xr6:coauthVersionLast="47" xr6:coauthVersionMax="47" xr10:uidLastSave="{7D149800-C30A-4604-B435-4F86597FEA05}"/>
  <bookViews>
    <workbookView xWindow="-120" yWindow="-120" windowWidth="20730" windowHeight="11040" activeTab="1" xr2:uid="{00000000-000D-0000-FFFF-FFFF00000000}"/>
  </bookViews>
  <sheets>
    <sheet name="Instructions" sheetId="2" r:id="rId1"/>
    <sheet name="Balanced Scorecard" sheetId="1" r:id="rId2"/>
    <sheet name="Tracking index" sheetId="4" r:id="rId3"/>
  </sheets>
  <externalReferences>
    <externalReference r:id="rId4"/>
  </externalReferences>
  <definedNames>
    <definedName name="ColorStatusIndicators">Instructions!$C$13:$C$16</definedName>
    <definedName name="NumberStatus">Instructions!#REF!</definedName>
    <definedName name="NumberStatusIndicators">Instructions!#REF!</definedName>
    <definedName name="_xlnm.Print_Area" localSheetId="1">'Balanced Scorecard'!$A$1:$AI$55</definedName>
    <definedName name="StatusIndicators">Instructions!$C$13:$C$16</definedName>
    <definedName name="StatusNumber">Instructions!#REF!</definedName>
    <definedName name="ThreeStatusNumber">Instructions!#REF!</definedName>
    <definedName name="www.fnbusinessconsultants.com">Instructions!$F$18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D43" i="1" l="1"/>
  <c r="AB43" i="1"/>
  <c r="X43" i="1"/>
  <c r="T43" i="1"/>
  <c r="P43" i="1"/>
  <c r="AA43" i="1"/>
  <c r="W43" i="1"/>
  <c r="S43" i="1"/>
  <c r="O43" i="1"/>
  <c r="L43" i="1"/>
  <c r="K43" i="1"/>
  <c r="AD34" i="1"/>
  <c r="AB34" i="1"/>
  <c r="AA34" i="1"/>
  <c r="X34" i="1"/>
  <c r="W34" i="1"/>
  <c r="T34" i="1"/>
  <c r="S34" i="1"/>
  <c r="P34" i="1"/>
  <c r="O34" i="1"/>
  <c r="L34" i="1"/>
  <c r="AD26" i="1"/>
  <c r="AB26" i="1"/>
  <c r="AA26" i="1"/>
  <c r="X26" i="1"/>
  <c r="W26" i="1"/>
  <c r="T26" i="1"/>
  <c r="S26" i="1"/>
  <c r="P26" i="1"/>
  <c r="O26" i="1"/>
  <c r="L26" i="1"/>
  <c r="K34" i="1"/>
  <c r="K26" i="1"/>
  <c r="G42" i="4"/>
  <c r="AB17" i="1"/>
  <c r="X17" i="1"/>
  <c r="T17" i="1"/>
  <c r="P17" i="1"/>
  <c r="O17" i="1"/>
  <c r="L17" i="1"/>
  <c r="F40" i="4"/>
  <c r="F39" i="4"/>
  <c r="F38" i="4"/>
  <c r="F36" i="4"/>
  <c r="G43" i="1"/>
  <c r="AB41" i="1"/>
  <c r="AA41" i="1"/>
  <c r="G34" i="1"/>
  <c r="AD41" i="1"/>
  <c r="AB40" i="1" l="1"/>
  <c r="AA40" i="1"/>
  <c r="AD40" i="1" l="1"/>
  <c r="AD39" i="1"/>
  <c r="AD38" i="1"/>
  <c r="AD37" i="1"/>
  <c r="AB39" i="1"/>
  <c r="AB38" i="1"/>
  <c r="AB37" i="1"/>
  <c r="AB32" i="1"/>
  <c r="AB31" i="1"/>
  <c r="AB30" i="1"/>
  <c r="AB29" i="1"/>
  <c r="AB28" i="1"/>
  <c r="AB22" i="1"/>
  <c r="AB21" i="1"/>
  <c r="AB20" i="1"/>
  <c r="AB19" i="1"/>
  <c r="G17" i="1"/>
  <c r="AB24" i="1"/>
  <c r="AB23" i="1"/>
  <c r="E36" i="4" l="1"/>
  <c r="AA24" i="1"/>
  <c r="AA23" i="1"/>
  <c r="AD23" i="1"/>
  <c r="AD52" i="1" l="1"/>
  <c r="AB52" i="1"/>
  <c r="AA52" i="1"/>
  <c r="O25" i="4"/>
  <c r="AB18" i="1"/>
  <c r="AB50" i="1"/>
  <c r="AB49" i="1"/>
  <c r="AB48" i="1"/>
  <c r="AB47" i="1"/>
  <c r="AB46" i="1"/>
  <c r="AB45" i="1"/>
  <c r="AB53" i="1"/>
  <c r="AB51" i="1"/>
  <c r="AD53" i="1"/>
  <c r="AA53" i="1"/>
  <c r="J36" i="4"/>
  <c r="H36" i="4"/>
  <c r="F34" i="4"/>
  <c r="F33" i="4"/>
  <c r="L32" i="4"/>
  <c r="K32" i="4"/>
  <c r="J32" i="4"/>
  <c r="I32" i="4"/>
  <c r="H32" i="4"/>
  <c r="G32" i="4"/>
  <c r="F32" i="4"/>
  <c r="E32" i="4"/>
  <c r="L31" i="4"/>
  <c r="J31" i="4"/>
  <c r="H31" i="4"/>
  <c r="F31" i="4"/>
  <c r="E31" i="4"/>
  <c r="F30" i="4"/>
  <c r="F25" i="4"/>
  <c r="F24" i="4"/>
  <c r="F23" i="4"/>
  <c r="F22" i="4"/>
  <c r="F21" i="4"/>
  <c r="F20" i="4"/>
  <c r="O19" i="4"/>
  <c r="F19" i="4"/>
  <c r="F18" i="4"/>
  <c r="O17" i="4"/>
  <c r="F17" i="4"/>
  <c r="F15" i="4"/>
  <c r="F14" i="4"/>
  <c r="L12" i="4"/>
  <c r="L11" i="4"/>
  <c r="F10" i="4"/>
  <c r="F9" i="4"/>
  <c r="F8" i="4"/>
  <c r="F7" i="4"/>
  <c r="AD51" i="1"/>
  <c r="AA51" i="1"/>
  <c r="AD50" i="1"/>
  <c r="AA50" i="1"/>
  <c r="AD49" i="1"/>
  <c r="AA49" i="1"/>
  <c r="AD48" i="1"/>
  <c r="AA48" i="1"/>
  <c r="AD47" i="1"/>
  <c r="AA47" i="1"/>
  <c r="AD46" i="1"/>
  <c r="AA46" i="1"/>
  <c r="AD45" i="1"/>
  <c r="AA45" i="1"/>
  <c r="Z43" i="1"/>
  <c r="V43" i="1"/>
  <c r="R43" i="1"/>
  <c r="N43" i="1"/>
  <c r="AA39" i="1"/>
  <c r="AA38" i="1"/>
  <c r="AA37" i="1"/>
  <c r="AD36" i="1"/>
  <c r="AB36" i="1"/>
  <c r="AA36" i="1"/>
  <c r="Z34" i="1"/>
  <c r="Z26" i="1" s="1"/>
  <c r="V34" i="1"/>
  <c r="V26" i="1" s="1"/>
  <c r="N34" i="1"/>
  <c r="N26" i="1" s="1"/>
  <c r="AD32" i="1"/>
  <c r="AA32" i="1"/>
  <c r="AD31" i="1"/>
  <c r="AA31" i="1"/>
  <c r="AD30" i="1"/>
  <c r="AD29" i="1"/>
  <c r="AA29" i="1"/>
  <c r="AD28" i="1"/>
  <c r="AA28" i="1"/>
  <c r="AD27" i="1"/>
  <c r="AB27" i="1"/>
  <c r="AA27" i="1"/>
  <c r="G26" i="1"/>
  <c r="AD24" i="1"/>
  <c r="AD22" i="1"/>
  <c r="AA22" i="1"/>
  <c r="AD21" i="1"/>
  <c r="AA21" i="1"/>
  <c r="AD20" i="1"/>
  <c r="AA20" i="1"/>
  <c r="AD19" i="1"/>
  <c r="AA19" i="1"/>
  <c r="AD18" i="1"/>
  <c r="AA18" i="1"/>
  <c r="Z17" i="1"/>
  <c r="W17" i="1"/>
  <c r="V17" i="1"/>
  <c r="S17" i="1"/>
  <c r="R17" i="1"/>
  <c r="N17" i="1"/>
  <c r="K17" i="1"/>
  <c r="N54" i="1" l="1"/>
  <c r="Z54" i="1"/>
  <c r="X54" i="1"/>
  <c r="AD17" i="1"/>
  <c r="AA17" i="1"/>
  <c r="O54" i="1"/>
  <c r="P54" i="1"/>
  <c r="S54" i="1"/>
  <c r="G54" i="1"/>
  <c r="T54" i="1"/>
  <c r="K54" i="1"/>
  <c r="V54" i="1"/>
  <c r="R34" i="1"/>
  <c r="R26" i="1" s="1"/>
  <c r="R54" i="1" s="1"/>
  <c r="L54" i="1"/>
  <c r="W54" i="1"/>
  <c r="AA54" i="1" l="1"/>
  <c r="AD54" i="1"/>
  <c r="X55" i="1"/>
  <c r="AB54" i="1"/>
  <c r="P55" i="1"/>
  <c r="L55" i="1"/>
  <c r="T55" i="1"/>
  <c r="AB55" i="1" l="1"/>
</calcChain>
</file>

<file path=xl/sharedStrings.xml><?xml version="1.0" encoding="utf-8"?>
<sst xmlns="http://schemas.openxmlformats.org/spreadsheetml/2006/main" count="256" uniqueCount="142">
  <si>
    <t>Perspective</t>
  </si>
  <si>
    <t>Objective</t>
  </si>
  <si>
    <t>Q1</t>
  </si>
  <si>
    <t>Q2</t>
  </si>
  <si>
    <t>Q3</t>
  </si>
  <si>
    <t>Q4</t>
  </si>
  <si>
    <t>Target</t>
  </si>
  <si>
    <t>Initiatives</t>
  </si>
  <si>
    <t>Financial</t>
  </si>
  <si>
    <t>Actual</t>
  </si>
  <si>
    <t>Status</t>
  </si>
  <si>
    <t>Total</t>
  </si>
  <si>
    <t>Year-To-Date</t>
  </si>
  <si>
    <t>Learning &amp; Growth</t>
  </si>
  <si>
    <t>On Target</t>
  </si>
  <si>
    <t>Needs Help</t>
  </si>
  <si>
    <t>No Data</t>
  </si>
  <si>
    <t>Caution</t>
  </si>
  <si>
    <t>Instructions</t>
  </si>
  <si>
    <t>BSC Template: Instructions &amp; Cautions</t>
  </si>
  <si>
    <t>Cautions</t>
  </si>
  <si>
    <t>6. If you let more than one person use the template, you may create version control issues.</t>
  </si>
  <si>
    <t>1. Enter your objectives in column E.</t>
  </si>
  <si>
    <t>2. Enter your measures in column G.</t>
  </si>
  <si>
    <t>3. Remember to adjust your merged cells b/t column E and G so that your measures align with your objectives.</t>
  </si>
  <si>
    <t>4. Adjust your number format for actual and targets in columns I-W.</t>
  </si>
  <si>
    <t>5. Enter your targets (for your annual target, it may roll up or be independent from your quarterly targets)</t>
  </si>
  <si>
    <t>6. Enter you actuals each quarter (for annual, it may roll up in a sum or average).</t>
  </si>
  <si>
    <t>7. Use the drop down in columns J, M, P, S, and V to show your color status for the quarter and for the year.   The following are the options for status:</t>
  </si>
  <si>
    <t>8. Enter your initiatives in column Y.  Please note that some initiatives may repeat.</t>
  </si>
  <si>
    <t>1. This Excel template does not evaluate objectives or initiatives</t>
  </si>
  <si>
    <t>2. This Excel template does not automatically evaluate measures as they are manual without conditional formatting.</t>
  </si>
  <si>
    <t>3. This Excel template does not support a strategy map.</t>
  </si>
  <si>
    <t>4. This Excel template is only for one level in an organization, and so it does not support alignment across organizations.</t>
  </si>
  <si>
    <t>5. This Excel template was not designed to support qualitative assessments.</t>
  </si>
  <si>
    <t>info@fnbusinessconsultants.com</t>
  </si>
  <si>
    <t>For a comprehensive tool for Balanced Scorecard write to:</t>
  </si>
  <si>
    <t>Weighting
(%)</t>
  </si>
  <si>
    <t>Comments</t>
  </si>
  <si>
    <t>Measure &amp; Target</t>
  </si>
  <si>
    <t>Actual Performance</t>
  </si>
  <si>
    <t>Company Name:</t>
  </si>
  <si>
    <t>Employee No.:</t>
  </si>
  <si>
    <t>Employee Name :</t>
  </si>
  <si>
    <t>Position :</t>
  </si>
  <si>
    <t>Business Unit :</t>
  </si>
  <si>
    <t>Financial Year :</t>
  </si>
  <si>
    <t>Appraiser:</t>
  </si>
  <si>
    <t>CDH INVESTMENT BANK LTD</t>
  </si>
  <si>
    <t>CDH IB Balanced Scorecard Template</t>
  </si>
  <si>
    <t>Index</t>
  </si>
  <si>
    <t>Indexed score</t>
  </si>
  <si>
    <t xml:space="preserve"> index</t>
  </si>
  <si>
    <t xml:space="preserve">Customer </t>
  </si>
  <si>
    <t>Internal business processes</t>
  </si>
  <si>
    <t>No</t>
  </si>
  <si>
    <t>Key Performance Area/Objective</t>
  </si>
  <si>
    <t>Weight(%)</t>
  </si>
  <si>
    <t>Total Performance Score per Quarter (%)</t>
  </si>
  <si>
    <t>Total Performance Score Cummulatively per Quarter(%)</t>
  </si>
  <si>
    <t>CDHIB048</t>
  </si>
  <si>
    <t>NQABILE MEDI</t>
  </si>
  <si>
    <t>HUMAN CAPITAL DEVELOPMENT</t>
  </si>
  <si>
    <t>Bring K50m worth of business by Q4</t>
  </si>
  <si>
    <t>HCD stakeholders satisfaction index @ 90% - Q4</t>
  </si>
  <si>
    <t>Corporate staff satisfaction @90% - Q4</t>
  </si>
  <si>
    <t>Core banking system scheduled deliverables- implemented, quartely</t>
  </si>
  <si>
    <t>efficient  and effective admini service delivery</t>
  </si>
  <si>
    <t>Ensure timely delivery of all CBS action points ie procurements of CBH</t>
  </si>
  <si>
    <t xml:space="preserve">100% Compliance with  directives, regulatory requirements ie RBM,  COSOMA, City council licences, City Fire certificate,  </t>
  </si>
  <si>
    <t>100% Satisfactory  audit ratings  - quarterly</t>
  </si>
  <si>
    <t>Manage bank asset risk by ensuring that there is 100%  insurance cover - quarterly</t>
  </si>
  <si>
    <t>Compile and submit the prequalified list of supplies to PIPAC for recommendation for approval.</t>
  </si>
  <si>
    <t>ensure compliance with  internal procedures, policies and regulations</t>
  </si>
  <si>
    <t>Submission of information  on all bank assets for annual  insurance cover by 31st Dec of each year, submission  and settlements  of claims and new addition through out the year, coodinate with finance  that debit notes are honoured.</t>
  </si>
  <si>
    <t>To cultivating a high performance culture, living the Bank's values and exhibit behaviour expected of the position</t>
  </si>
  <si>
    <t>a. Integrity</t>
  </si>
  <si>
    <t>b. Respect &amp; Trust</t>
  </si>
  <si>
    <t>c. Teamwork</t>
  </si>
  <si>
    <t>d. Equity</t>
  </si>
  <si>
    <t>e. Innovation</t>
  </si>
  <si>
    <t>Own BSC Appraisal done quarterly</t>
  </si>
  <si>
    <t>Direct reportees Performance Targets developed - Q1</t>
  </si>
  <si>
    <t>Direct reportees BSC Appraisals done quarterly</t>
  </si>
  <si>
    <t>Organization cultural transformation plan for 2024 implemented, - Q4</t>
  </si>
  <si>
    <t xml:space="preserve">Details Training Needs Assessment for self and discuss TNA for reportees  </t>
  </si>
  <si>
    <t>Very high coordination with departmental colleagues   to ensure there is no HR service break</t>
  </si>
  <si>
    <t>Walking the talk on all Banks values</t>
  </si>
  <si>
    <t xml:space="preserve"> Human Capital Development BSC Performance Tracking Index 2024</t>
  </si>
  <si>
    <t>NPAT at K13.9b</t>
  </si>
  <si>
    <t>NPL at 2% quarterly</t>
  </si>
  <si>
    <t>Cost to income ratio of 40.2% quarterly</t>
  </si>
  <si>
    <t>ROA at 3.5% quarterly</t>
  </si>
  <si>
    <t>ROE at 37.6% quartely</t>
  </si>
  <si>
    <t>Renewal of approved  prequalications of suppliers list - quaterly 1</t>
  </si>
  <si>
    <t>Integrity</t>
  </si>
  <si>
    <t>Respect &amp; Trust</t>
  </si>
  <si>
    <t>Teamwork</t>
  </si>
  <si>
    <t>Equity</t>
  </si>
  <si>
    <t>Innovation</t>
  </si>
  <si>
    <t>Human Capital employees satisfaction at 90%</t>
  </si>
  <si>
    <t>%</t>
  </si>
  <si>
    <t>1ST JAN 2025 TO 31ST DEC 2025</t>
  </si>
  <si>
    <r>
      <t xml:space="preserve">CHIEF HUMAN CAPITAL DEV. OFFICER                                                                                          </t>
    </r>
    <r>
      <rPr>
        <b/>
        <sz val="12"/>
        <color rgb="FF0070C0"/>
        <rFont val="Myriad Pro"/>
      </rPr>
      <t>Signature:</t>
    </r>
  </si>
  <si>
    <t>1. NPL at 2% quarterly</t>
  </si>
  <si>
    <t>2. Cost to income ratio of 33.5% quarterly</t>
  </si>
  <si>
    <t>3. ROA at 6% quarterly</t>
  </si>
  <si>
    <t>4. ROE at 60.6% quartely</t>
  </si>
  <si>
    <t>To sustain effective financial performance (grow revenue by 20%)</t>
  </si>
  <si>
    <t>Q4  Move LBC to a new location - City Assembly approval</t>
  </si>
  <si>
    <t>Completion CCBC minor renovation works - Q4</t>
  </si>
  <si>
    <t xml:space="preserve">ensure cost  efficient admin service dellivery </t>
  </si>
  <si>
    <t>Renewal of approved  prequalification of suppliers list - quarter 4</t>
  </si>
  <si>
    <t>Exhibit  behaviours associated  with the Bank's core values:</t>
  </si>
  <si>
    <t>\</t>
  </si>
  <si>
    <t>Mobilise K100m worth of   deposits - Q4</t>
  </si>
  <si>
    <t>To enhance operational efficiencies, ensure  regulatory compliance  and  mitigate risks</t>
  </si>
  <si>
    <t>completion of works to satisfaction</t>
  </si>
  <si>
    <t>100% compliance with  directives, regulatory requirements ie RBM,  COSOMA, City council licences, City Fire certificate - quarterly</t>
  </si>
  <si>
    <t>staff sensitisation, and participate in delivery</t>
  </si>
  <si>
    <t>To grow deposits</t>
  </si>
  <si>
    <t>To  enhance internal and external   stake holders' satisfction</t>
  </si>
  <si>
    <t>6. Q4 : NPAT of K35.7 billion</t>
  </si>
  <si>
    <t>Q2. Human Capital stakeholder  satisfaction index at 90%</t>
  </si>
  <si>
    <t>Q3: Customer net promoter index (NPI) at 90%</t>
  </si>
  <si>
    <t xml:space="preserve"> Q3: Customer satisfaction index (CSI) at 90%</t>
  </si>
  <si>
    <t>Completion CDH House refurbishments and external repairs works - Q4</t>
  </si>
  <si>
    <t>make customer visit to moblise deposits/business</t>
  </si>
  <si>
    <t>Adhrence to all regulatory requirements renewals /directives</t>
  </si>
  <si>
    <t>attend training and transfer skills</t>
  </si>
  <si>
    <t>self and direct reportees performance targets developed  and appraisals done and submitted by due date - quartely</t>
  </si>
  <si>
    <t>organise staff wellness activities to maintain  CDHIB culture</t>
  </si>
  <si>
    <t>Enhance staff welfare - run a staff welfare survey :;plan and organise staff wellness activities as per programme -quarterly</t>
  </si>
  <si>
    <t xml:space="preserve"> Q3:  Assist in developing a digital strategy blueprint</t>
  </si>
  <si>
    <t>Self and direct reportees performance targets  developed and  appraisals done  and submitted by due date - quartely</t>
  </si>
  <si>
    <t>Manage the people risk  by managing staff turn over</t>
  </si>
  <si>
    <t>Input into the bnak's Digital strategy from an HR perspective</t>
  </si>
  <si>
    <t>Attend ladership training (Advanced Leadership &amp; Management Development Program - Q3</t>
  </si>
  <si>
    <t xml:space="preserve">Q2: assist in  job evaluation exercise delivery to align structure with bank model </t>
  </si>
  <si>
    <r>
      <t xml:space="preserve">ADMINISTRATION MANAGER                                                                                                         </t>
    </r>
    <r>
      <rPr>
        <b/>
        <sz val="12"/>
        <color rgb="FF0070C0"/>
        <rFont val="Myriad Pro"/>
      </rPr>
      <t>Signature:</t>
    </r>
  </si>
  <si>
    <t>Staff retention at 90% - quarterly</t>
  </si>
  <si>
    <t>Reduce cost by 10% - quarterly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</si>
</sst>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quot;$&quot;#,##0.00"/>
    <numFmt numFmtId="166" formatCode="0.0%"/>
    <numFmt numFmtId="167" formatCode="0.0"/>
    <numFmt numFmtId="168" formatCode="_(* #,##0.000_);_(* \(#,##0.000\);_(* &quot;-&quot;??_);_(@_)"/>
    <numFmt numFmtId="169" formatCode="0.000%"/>
  </numFmts>
  <fonts count="46">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theme="1"/>
      <name val="Myriad Pro"/>
      <family val="2"/>
    </font>
    <font>
      <b/>
      <sz val="36"/>
      <color theme="3" tint="-0.499984740745262"/>
      <name val="Myriad Pro"/>
      <family val="2"/>
    </font>
    <font>
      <u/>
      <sz val="11"/>
      <color theme="1"/>
      <name val="Myriad Pro"/>
      <family val="2"/>
    </font>
    <font>
      <b/>
      <sz val="20"/>
      <color theme="2" tint="-0.89999084444715716"/>
      <name val="Myriad Pro"/>
      <family val="2"/>
    </font>
    <font>
      <sz val="12"/>
      <color theme="2" tint="-0.89999084444715716"/>
      <name val="Myriad Pro"/>
      <family val="2"/>
    </font>
    <font>
      <sz val="12"/>
      <color theme="3" tint="-0.499984740745262"/>
      <name val="Myriad Pro"/>
      <family val="2"/>
    </font>
    <font>
      <sz val="16"/>
      <color theme="3" tint="-0.499984740745262"/>
      <name val="Myriad Pro"/>
      <family val="2"/>
    </font>
    <font>
      <u/>
      <sz val="11"/>
      <color theme="10"/>
      <name val="Calibri"/>
      <family val="2"/>
      <scheme val="minor"/>
    </font>
    <font>
      <sz val="11"/>
      <color theme="1"/>
      <name val="Calibri"/>
      <family val="2"/>
      <scheme val="minor"/>
    </font>
    <font>
      <b/>
      <sz val="12"/>
      <color theme="3" tint="-0.499984740745262"/>
      <name val="Myriad Pro"/>
      <family val="2"/>
    </font>
    <font>
      <sz val="12"/>
      <color theme="1"/>
      <name val="Myriad Pro"/>
      <family val="2"/>
    </font>
    <font>
      <sz val="12"/>
      <name val="Myriad Pro"/>
    </font>
    <font>
      <sz val="11"/>
      <name val="Myriad Pro"/>
      <family val="2"/>
    </font>
    <font>
      <sz val="8"/>
      <name val="Calibri"/>
      <family val="2"/>
      <scheme val="minor"/>
    </font>
    <font>
      <b/>
      <sz val="12"/>
      <name val="Myriad Pro"/>
    </font>
    <font>
      <sz val="12"/>
      <name val="Calibri"/>
      <family val="2"/>
      <scheme val="minor"/>
    </font>
    <font>
      <b/>
      <sz val="12"/>
      <name val="Myriad Pro"/>
      <family val="2"/>
    </font>
    <font>
      <sz val="12"/>
      <color theme="1"/>
      <name val="Calibri"/>
      <family val="2"/>
      <scheme val="minor"/>
    </font>
    <font>
      <b/>
      <sz val="12"/>
      <name val="Calibri"/>
      <family val="2"/>
      <scheme val="minor"/>
    </font>
    <font>
      <b/>
      <sz val="12"/>
      <color theme="1"/>
      <name val="Calibri"/>
      <family val="2"/>
      <scheme val="minor"/>
    </font>
    <font>
      <sz val="12"/>
      <name val="Myriad Pro"/>
      <family val="2"/>
    </font>
    <font>
      <u/>
      <sz val="12"/>
      <color theme="1"/>
      <name val="Myriad Pro"/>
      <family val="2"/>
    </font>
    <font>
      <b/>
      <sz val="12"/>
      <color theme="0"/>
      <name val="Myriad Pro"/>
      <family val="2"/>
    </font>
    <font>
      <b/>
      <sz val="12"/>
      <color theme="3" tint="-0.499984740745262"/>
      <name val="Myriad Pro"/>
    </font>
    <font>
      <b/>
      <sz val="12"/>
      <color theme="3" tint="-0.499984740745262"/>
      <name val="Calibri"/>
      <family val="2"/>
      <scheme val="minor"/>
    </font>
    <font>
      <b/>
      <sz val="12"/>
      <color rgb="FF0070C0"/>
      <name val="Myriad Pro"/>
    </font>
    <font>
      <b/>
      <sz val="12"/>
      <color theme="1"/>
      <name val="Myriad Pro"/>
    </font>
    <font>
      <sz val="12"/>
      <color theme="0"/>
      <name val="Myriad Pro"/>
    </font>
    <font>
      <sz val="12"/>
      <color theme="0"/>
      <name val="Myriad Pro"/>
      <family val="2"/>
    </font>
    <font>
      <b/>
      <sz val="12"/>
      <color rgb="FFF4F4F6"/>
      <name val="Myriad Pro"/>
      <family val="2"/>
    </font>
    <font>
      <b/>
      <sz val="12"/>
      <color rgb="FFF4F4F6"/>
      <name val="Myriad Pro"/>
    </font>
    <font>
      <b/>
      <sz val="12"/>
      <color theme="1"/>
      <name val="Myriad Pro"/>
      <family val="2"/>
    </font>
    <font>
      <sz val="12"/>
      <color theme="1"/>
      <name val="Myriad Pro"/>
    </font>
    <font>
      <b/>
      <sz val="12"/>
      <color theme="0"/>
      <name val="Myriad Pro"/>
    </font>
    <font>
      <b/>
      <sz val="12"/>
      <color theme="0"/>
      <name val="Calibri"/>
      <family val="2"/>
      <scheme val="minor"/>
    </font>
    <font>
      <b/>
      <sz val="12"/>
      <color rgb="FF00B050"/>
      <name val="Myriad Pro"/>
      <family val="2"/>
    </font>
    <font>
      <sz val="12"/>
      <color rgb="FF00B050"/>
      <name val="Myriad Pro"/>
      <family val="2"/>
    </font>
    <font>
      <b/>
      <sz val="12"/>
      <color rgb="FFFF0000"/>
      <name val="Myriad Pro"/>
    </font>
    <font>
      <sz val="12"/>
      <color rgb="FFFF0000"/>
      <name val="Myriad Pro"/>
    </font>
    <font>
      <b/>
      <sz val="11"/>
      <color theme="0"/>
      <name val="Calibri"/>
      <family val="2"/>
      <scheme val="minor"/>
    </font>
    <font>
      <b/>
      <sz val="11"/>
      <color theme="1"/>
      <name val="Calibri"/>
      <family val="2"/>
      <scheme val="minor"/>
    </font>
    <font>
      <sz val="12"/>
      <name val="Arial"/>
      <family val="2"/>
    </font>
  </fonts>
  <fills count="1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3" tint="0.79998168889431442"/>
        <bgColor indexed="64"/>
      </patternFill>
    </fill>
    <fill>
      <patternFill patternType="solid">
        <fgColor rgb="FFF4F4F6"/>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rgb="FF002060"/>
        <bgColor indexed="64"/>
      </patternFill>
    </fill>
    <fill>
      <patternFill patternType="solid">
        <fgColor rgb="FF0070C0"/>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6" tint="0.59999389629810485"/>
        <bgColor indexed="64"/>
      </patternFill>
    </fill>
  </fills>
  <borders count="37">
    <border>
      <left/>
      <right/>
      <top/>
      <bottom/>
      <diagonal/>
    </border>
    <border>
      <left/>
      <right/>
      <top/>
      <bottom style="thick">
        <color theme="3" tint="-0.499984740745262"/>
      </bottom>
      <diagonal/>
    </border>
    <border>
      <left/>
      <right/>
      <top style="mediumDashed">
        <color theme="3" tint="-0.499984740745262"/>
      </top>
      <bottom/>
      <diagonal/>
    </border>
    <border>
      <left style="mediumDashed">
        <color theme="3" tint="-0.499984740745262"/>
      </left>
      <right/>
      <top style="mediumDashed">
        <color theme="3" tint="-0.499984740745262"/>
      </top>
      <bottom/>
      <diagonal/>
    </border>
    <border>
      <left/>
      <right style="mediumDashed">
        <color theme="3" tint="-0.499984740745262"/>
      </right>
      <top style="mediumDashed">
        <color theme="3" tint="-0.499984740745262"/>
      </top>
      <bottom/>
      <diagonal/>
    </border>
    <border>
      <left style="mediumDashed">
        <color theme="3" tint="-0.499984740745262"/>
      </left>
      <right/>
      <top/>
      <bottom/>
      <diagonal/>
    </border>
    <border>
      <left/>
      <right style="mediumDashed">
        <color theme="3" tint="-0.499984740745262"/>
      </right>
      <top/>
      <bottom/>
      <diagonal/>
    </border>
    <border>
      <left style="mediumDashed">
        <color theme="3" tint="-0.499984740745262"/>
      </left>
      <right/>
      <top/>
      <bottom style="mediumDashed">
        <color theme="3" tint="-0.499984740745262"/>
      </bottom>
      <diagonal/>
    </border>
    <border>
      <left/>
      <right/>
      <top/>
      <bottom style="mediumDashed">
        <color theme="3" tint="-0.499984740745262"/>
      </bottom>
      <diagonal/>
    </border>
    <border>
      <left/>
      <right style="mediumDashed">
        <color theme="3" tint="-0.499984740745262"/>
      </right>
      <top/>
      <bottom style="mediumDashed">
        <color theme="3" tint="-0.499984740745262"/>
      </bottom>
      <diagonal/>
    </border>
    <border>
      <left style="mediumDashed">
        <color theme="3" tint="-0.499984740745262"/>
      </left>
      <right style="mediumDashed">
        <color theme="3" tint="-0.499984740745262"/>
      </right>
      <top style="mediumDashed">
        <color theme="3" tint="-0.499984740745262"/>
      </top>
      <bottom/>
      <diagonal/>
    </border>
    <border>
      <left style="mediumDashed">
        <color theme="3" tint="-0.499984740745262"/>
      </left>
      <right style="mediumDashed">
        <color theme="3" tint="-0.499984740745262"/>
      </right>
      <top/>
      <bottom/>
      <diagonal/>
    </border>
    <border>
      <left style="mediumDashed">
        <color theme="3" tint="-0.499984740745262"/>
      </left>
      <right style="mediumDashed">
        <color theme="3" tint="-0.499984740745262"/>
      </right>
      <top/>
      <bottom style="mediumDashed">
        <color theme="3"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7">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11" fillId="0" borderId="0" applyNumberFormat="0" applyFill="0" applyBorder="0" applyAlignment="0" applyProtection="0"/>
    <xf numFmtId="9" fontId="12" fillId="0" borderId="0" applyFont="0" applyFill="0" applyBorder="0" applyAlignment="0" applyProtection="0"/>
    <xf numFmtId="164" fontId="12" fillId="0" borderId="0" applyFont="0" applyFill="0" applyBorder="0" applyAlignment="0" applyProtection="0"/>
  </cellStyleXfs>
  <cellXfs count="336">
    <xf numFmtId="0" fontId="0" fillId="0" borderId="0" xfId="0"/>
    <xf numFmtId="0" fontId="4" fillId="0" borderId="0" xfId="0" applyFont="1"/>
    <xf numFmtId="0" fontId="4" fillId="7" borderId="0" xfId="0" applyFont="1" applyFill="1"/>
    <xf numFmtId="0" fontId="10" fillId="7" borderId="0" xfId="0" applyFont="1" applyFill="1"/>
    <xf numFmtId="0" fontId="8" fillId="7" borderId="0" xfId="0" applyFont="1" applyFill="1" applyAlignment="1">
      <alignment horizontal="left" vertical="center" wrapText="1" indent="5"/>
    </xf>
    <xf numFmtId="0" fontId="9" fillId="7" borderId="0" xfId="1" applyFont="1" applyFill="1" applyAlignment="1">
      <alignment horizontal="center" wrapText="1"/>
    </xf>
    <xf numFmtId="0" fontId="9" fillId="7" borderId="0" xfId="3" applyFont="1" applyFill="1" applyAlignment="1">
      <alignment horizontal="center" wrapText="1"/>
    </xf>
    <xf numFmtId="0" fontId="9" fillId="7" borderId="0" xfId="2" applyFont="1" applyFill="1" applyAlignment="1">
      <alignment horizontal="center" wrapText="1"/>
    </xf>
    <xf numFmtId="0" fontId="9" fillId="7" borderId="0" xfId="0" applyFont="1" applyFill="1" applyAlignment="1">
      <alignment horizontal="center" wrapText="1"/>
    </xf>
    <xf numFmtId="0" fontId="9" fillId="7" borderId="0" xfId="0" applyFont="1" applyFill="1" applyAlignment="1">
      <alignment horizontal="left" vertical="center" wrapText="1" indent="5"/>
    </xf>
    <xf numFmtId="0" fontId="4" fillId="5" borderId="10" xfId="0" applyFont="1" applyFill="1" applyBorder="1"/>
    <xf numFmtId="0" fontId="4" fillId="5" borderId="11" xfId="0" applyFont="1" applyFill="1" applyBorder="1"/>
    <xf numFmtId="0" fontId="4" fillId="5" borderId="11" xfId="0" applyFont="1" applyFill="1" applyBorder="1" applyAlignment="1">
      <alignment horizontal="center" wrapText="1"/>
    </xf>
    <xf numFmtId="0" fontId="11" fillId="0" borderId="12" xfId="4" applyBorder="1" applyAlignment="1">
      <alignment horizontal="center" vertical="top"/>
    </xf>
    <xf numFmtId="0" fontId="13" fillId="7" borderId="0" xfId="0" applyFont="1" applyFill="1" applyAlignment="1">
      <alignment horizontal="left"/>
    </xf>
    <xf numFmtId="0" fontId="14" fillId="7" borderId="6" xfId="0" applyFont="1" applyFill="1" applyBorder="1"/>
    <xf numFmtId="0" fontId="13" fillId="7" borderId="0" xfId="0" applyFont="1" applyFill="1" applyAlignment="1">
      <alignment horizontal="right" vertical="center"/>
    </xf>
    <xf numFmtId="0" fontId="15" fillId="6" borderId="0" xfId="0" applyFont="1" applyFill="1" applyAlignment="1">
      <alignment vertical="center" wrapText="1"/>
    </xf>
    <xf numFmtId="0" fontId="19" fillId="6" borderId="0" xfId="0" applyFont="1" applyFill="1" applyAlignment="1">
      <alignment vertical="center" wrapText="1"/>
    </xf>
    <xf numFmtId="0" fontId="19" fillId="6" borderId="0" xfId="0" applyFont="1" applyFill="1" applyAlignment="1">
      <alignment horizontal="left" vertical="center"/>
    </xf>
    <xf numFmtId="0" fontId="14" fillId="0" borderId="0" xfId="0" applyFont="1"/>
    <xf numFmtId="0" fontId="14" fillId="5" borderId="0" xfId="0" applyFont="1" applyFill="1"/>
    <xf numFmtId="0" fontId="13" fillId="7" borderId="2" xfId="0" applyFont="1" applyFill="1" applyBorder="1"/>
    <xf numFmtId="0" fontId="14" fillId="7" borderId="2" xfId="0" applyFont="1" applyFill="1" applyBorder="1"/>
    <xf numFmtId="0" fontId="14" fillId="7" borderId="4" xfId="0" applyFont="1" applyFill="1" applyBorder="1"/>
    <xf numFmtId="0" fontId="26" fillId="10" borderId="15" xfId="0" applyFont="1" applyFill="1" applyBorder="1" applyAlignment="1">
      <alignment horizontal="left" vertical="center"/>
    </xf>
    <xf numFmtId="0" fontId="28" fillId="7" borderId="0" xfId="0" applyFont="1" applyFill="1" applyAlignment="1">
      <alignment horizontal="left"/>
    </xf>
    <xf numFmtId="0" fontId="14" fillId="7" borderId="0" xfId="0" applyFont="1" applyFill="1" applyAlignment="1">
      <alignment horizontal="center" vertical="center"/>
    </xf>
    <xf numFmtId="0" fontId="14" fillId="7" borderId="0" xfId="0" applyFont="1" applyFill="1"/>
    <xf numFmtId="0" fontId="26" fillId="7" borderId="0" xfId="0" applyFont="1" applyFill="1" applyAlignment="1">
      <alignment horizontal="center"/>
    </xf>
    <xf numFmtId="0" fontId="31" fillId="5" borderId="0" xfId="0" applyFont="1" applyFill="1" applyAlignment="1">
      <alignment horizontal="center" vertical="center"/>
    </xf>
    <xf numFmtId="0" fontId="26" fillId="10" borderId="0" xfId="0" applyFont="1" applyFill="1" applyAlignment="1">
      <alignment horizontal="center"/>
    </xf>
    <xf numFmtId="0" fontId="32" fillId="0" borderId="0" xfId="0" applyFont="1"/>
    <xf numFmtId="0" fontId="35" fillId="7" borderId="0" xfId="0" applyFont="1" applyFill="1" applyAlignment="1">
      <alignment horizontal="center" vertical="center"/>
    </xf>
    <xf numFmtId="0" fontId="35" fillId="7" borderId="0" xfId="0" applyFont="1" applyFill="1" applyAlignment="1">
      <alignment horizontal="center"/>
    </xf>
    <xf numFmtId="0" fontId="36" fillId="7" borderId="0" xfId="0" applyFont="1" applyFill="1" applyAlignment="1">
      <alignment horizontal="center" vertical="center"/>
    </xf>
    <xf numFmtId="0" fontId="35" fillId="7" borderId="0" xfId="0" applyFont="1" applyFill="1" applyAlignment="1">
      <alignment horizontal="left" vertical="top"/>
    </xf>
    <xf numFmtId="0" fontId="37" fillId="5" borderId="0" xfId="0" applyFont="1" applyFill="1" applyAlignment="1">
      <alignment horizontal="left" vertical="top"/>
    </xf>
    <xf numFmtId="0" fontId="37" fillId="5" borderId="14" xfId="0" applyFont="1" applyFill="1" applyBorder="1" applyAlignment="1">
      <alignment horizontal="left" vertical="top"/>
    </xf>
    <xf numFmtId="0" fontId="37" fillId="11" borderId="14" xfId="0" applyFont="1" applyFill="1" applyBorder="1" applyAlignment="1">
      <alignment horizontal="left" vertical="top"/>
    </xf>
    <xf numFmtId="10" fontId="37" fillId="11" borderId="14" xfId="0" applyNumberFormat="1" applyFont="1" applyFill="1" applyBorder="1" applyAlignment="1">
      <alignment vertical="top"/>
    </xf>
    <xf numFmtId="10" fontId="37" fillId="5" borderId="14" xfId="0" applyNumberFormat="1" applyFont="1" applyFill="1" applyBorder="1" applyAlignment="1">
      <alignment vertical="top"/>
    </xf>
    <xf numFmtId="165" fontId="37" fillId="5" borderId="0" xfId="0" applyNumberFormat="1" applyFont="1" applyFill="1" applyAlignment="1">
      <alignment vertical="top"/>
    </xf>
    <xf numFmtId="0" fontId="37" fillId="11" borderId="15" xfId="0" applyFont="1" applyFill="1" applyBorder="1" applyAlignment="1">
      <alignment horizontal="left" vertical="top"/>
    </xf>
    <xf numFmtId="0" fontId="14" fillId="5" borderId="0" xfId="0" applyFont="1" applyFill="1" applyAlignment="1">
      <alignment vertical="top"/>
    </xf>
    <xf numFmtId="0" fontId="14" fillId="11" borderId="15" xfId="0" applyFont="1" applyFill="1" applyBorder="1" applyAlignment="1">
      <alignment horizontal="left" vertical="top"/>
    </xf>
    <xf numFmtId="0" fontId="14" fillId="7" borderId="6" xfId="0" applyFont="1" applyFill="1" applyBorder="1" applyAlignment="1">
      <alignment vertical="top"/>
    </xf>
    <xf numFmtId="0" fontId="14" fillId="0" borderId="0" xfId="0" applyFont="1" applyAlignment="1">
      <alignment vertical="top"/>
    </xf>
    <xf numFmtId="10" fontId="19" fillId="12" borderId="0" xfId="0" applyNumberFormat="1" applyFont="1" applyFill="1" applyAlignment="1">
      <alignment vertical="top"/>
    </xf>
    <xf numFmtId="0" fontId="35" fillId="7" borderId="0" xfId="0" applyFont="1" applyFill="1" applyAlignment="1">
      <alignment horizontal="left" vertical="center"/>
    </xf>
    <xf numFmtId="0" fontId="15" fillId="5" borderId="0" xfId="0" applyFont="1" applyFill="1" applyAlignment="1">
      <alignment horizontal="left" vertical="center"/>
    </xf>
    <xf numFmtId="0" fontId="19" fillId="7" borderId="0" xfId="0" applyFont="1" applyFill="1" applyAlignment="1">
      <alignment horizontal="left" vertical="center"/>
    </xf>
    <xf numFmtId="10" fontId="19" fillId="6" borderId="0" xfId="0" applyNumberFormat="1" applyFont="1" applyFill="1" applyAlignment="1">
      <alignment vertical="center"/>
    </xf>
    <xf numFmtId="10" fontId="19" fillId="12" borderId="0" xfId="0" applyNumberFormat="1" applyFont="1" applyFill="1" applyAlignment="1">
      <alignment vertical="center"/>
    </xf>
    <xf numFmtId="0" fontId="19" fillId="0" borderId="0" xfId="0" applyFont="1"/>
    <xf numFmtId="165" fontId="19" fillId="7" borderId="0" xfId="0" applyNumberFormat="1" applyFont="1" applyFill="1"/>
    <xf numFmtId="9" fontId="24" fillId="6" borderId="0" xfId="5" applyFont="1" applyFill="1" applyBorder="1" applyAlignment="1">
      <alignment horizontal="center" vertical="center"/>
    </xf>
    <xf numFmtId="0" fontId="24" fillId="7" borderId="0" xfId="0" applyFont="1" applyFill="1" applyAlignment="1">
      <alignment horizontal="left" vertical="center"/>
    </xf>
    <xf numFmtId="10" fontId="19" fillId="12" borderId="0" xfId="0" applyNumberFormat="1" applyFont="1" applyFill="1"/>
    <xf numFmtId="0" fontId="14" fillId="7" borderId="0" xfId="0" applyFont="1" applyFill="1" applyAlignment="1">
      <alignment horizontal="left" vertical="center"/>
    </xf>
    <xf numFmtId="0" fontId="36" fillId="5" borderId="0" xfId="0" applyFont="1" applyFill="1" applyAlignment="1">
      <alignment horizontal="left" vertical="center"/>
    </xf>
    <xf numFmtId="9" fontId="14" fillId="7" borderId="0" xfId="5" applyFont="1" applyFill="1" applyBorder="1" applyAlignment="1">
      <alignment horizontal="center" vertical="center"/>
    </xf>
    <xf numFmtId="0" fontId="21" fillId="7" borderId="0" xfId="0" applyFont="1" applyFill="1" applyAlignment="1">
      <alignment horizontal="left" vertical="center"/>
    </xf>
    <xf numFmtId="10" fontId="21" fillId="7" borderId="0" xfId="0" applyNumberFormat="1" applyFont="1" applyFill="1"/>
    <xf numFmtId="0" fontId="21" fillId="7" borderId="0" xfId="0" applyFont="1" applyFill="1"/>
    <xf numFmtId="10" fontId="19" fillId="7" borderId="0" xfId="0" applyNumberFormat="1" applyFont="1" applyFill="1"/>
    <xf numFmtId="0" fontId="21" fillId="7" borderId="0" xfId="0" applyFont="1" applyFill="1" applyAlignment="1">
      <alignment horizontal="center" vertical="center"/>
    </xf>
    <xf numFmtId="0" fontId="26" fillId="10" borderId="0" xfId="0" applyFont="1" applyFill="1" applyAlignment="1">
      <alignment vertical="center" wrapText="1"/>
    </xf>
    <xf numFmtId="0" fontId="37" fillId="5" borderId="0" xfId="0" applyFont="1" applyFill="1" applyAlignment="1">
      <alignment horizontal="left" vertical="center"/>
    </xf>
    <xf numFmtId="9" fontId="37" fillId="11" borderId="13" xfId="5" applyFont="1" applyFill="1" applyBorder="1" applyAlignment="1">
      <alignment horizontal="center" vertical="center"/>
    </xf>
    <xf numFmtId="0" fontId="37" fillId="5" borderId="14" xfId="0" applyFont="1" applyFill="1" applyBorder="1" applyAlignment="1">
      <alignment horizontal="left" vertical="center"/>
    </xf>
    <xf numFmtId="0" fontId="38" fillId="11" borderId="14" xfId="0" applyFont="1" applyFill="1" applyBorder="1" applyAlignment="1">
      <alignment horizontal="left" vertical="center"/>
    </xf>
    <xf numFmtId="0" fontId="38" fillId="5" borderId="14" xfId="0" applyFont="1" applyFill="1" applyBorder="1" applyAlignment="1">
      <alignment horizontal="left" vertical="center"/>
    </xf>
    <xf numFmtId="10" fontId="38" fillId="11" borderId="14" xfId="0" applyNumberFormat="1" applyFont="1" applyFill="1" applyBorder="1"/>
    <xf numFmtId="10" fontId="38" fillId="5" borderId="14" xfId="0" applyNumberFormat="1" applyFont="1" applyFill="1" applyBorder="1"/>
    <xf numFmtId="165" fontId="38" fillId="5" borderId="0" xfId="0" applyNumberFormat="1" applyFont="1" applyFill="1"/>
    <xf numFmtId="0" fontId="38" fillId="11" borderId="15" xfId="0" applyFont="1" applyFill="1" applyBorder="1" applyAlignment="1">
      <alignment horizontal="left" vertical="center"/>
    </xf>
    <xf numFmtId="0" fontId="14" fillId="11" borderId="15" xfId="0" applyFont="1" applyFill="1" applyBorder="1" applyAlignment="1">
      <alignment horizontal="left" vertical="center"/>
    </xf>
    <xf numFmtId="0" fontId="39" fillId="7" borderId="0" xfId="0" applyFont="1" applyFill="1" applyAlignment="1">
      <alignment horizontal="left" vertical="center"/>
    </xf>
    <xf numFmtId="0" fontId="15" fillId="6" borderId="0" xfId="0" applyFont="1" applyFill="1" applyAlignment="1">
      <alignment horizontal="left" vertical="center"/>
    </xf>
    <xf numFmtId="0" fontId="40" fillId="7" borderId="0" xfId="0" applyFont="1" applyFill="1"/>
    <xf numFmtId="0" fontId="40" fillId="7" borderId="6" xfId="0" applyFont="1" applyFill="1" applyBorder="1"/>
    <xf numFmtId="0" fontId="40" fillId="0" borderId="0" xfId="0" applyFont="1"/>
    <xf numFmtId="0" fontId="39" fillId="0" borderId="0" xfId="0" applyFont="1" applyAlignment="1">
      <alignment horizontal="left" vertical="center"/>
    </xf>
    <xf numFmtId="0" fontId="15" fillId="0" borderId="0" xfId="0" applyFont="1" applyAlignment="1">
      <alignment horizontal="left" vertical="center"/>
    </xf>
    <xf numFmtId="165" fontId="19" fillId="0" borderId="0" xfId="0" applyNumberFormat="1" applyFont="1"/>
    <xf numFmtId="0" fontId="40" fillId="0" borderId="6" xfId="0" applyFont="1" applyBorder="1"/>
    <xf numFmtId="0" fontId="36" fillId="6" borderId="0" xfId="0" applyFont="1" applyFill="1" applyAlignment="1">
      <alignment vertical="center" wrapText="1"/>
    </xf>
    <xf numFmtId="0" fontId="36" fillId="7" borderId="0" xfId="0" applyFont="1" applyFill="1" applyAlignment="1">
      <alignment horizontal="left" vertical="center"/>
    </xf>
    <xf numFmtId="0" fontId="21" fillId="6" borderId="0" xfId="0" applyFont="1" applyFill="1" applyAlignment="1">
      <alignment horizontal="left" vertical="center" wrapText="1"/>
    </xf>
    <xf numFmtId="0" fontId="21" fillId="6" borderId="0" xfId="0" applyFont="1" applyFill="1" applyAlignment="1">
      <alignment vertical="center" wrapText="1"/>
    </xf>
    <xf numFmtId="0" fontId="41" fillId="7" borderId="0" xfId="0" applyFont="1" applyFill="1" applyAlignment="1">
      <alignment horizontal="left" vertical="center"/>
    </xf>
    <xf numFmtId="0" fontId="36" fillId="0" borderId="0" xfId="0" applyFont="1"/>
    <xf numFmtId="0" fontId="36" fillId="5" borderId="0" xfId="0" applyFont="1" applyFill="1"/>
    <xf numFmtId="0" fontId="30" fillId="0" borderId="15" xfId="0" applyFont="1" applyBorder="1"/>
    <xf numFmtId="0" fontId="30" fillId="5" borderId="15" xfId="0" applyFont="1" applyFill="1" applyBorder="1"/>
    <xf numFmtId="10" fontId="24" fillId="12" borderId="0" xfId="0" applyNumberFormat="1" applyFont="1" applyFill="1"/>
    <xf numFmtId="10" fontId="19" fillId="6" borderId="0" xfId="0" applyNumberFormat="1" applyFont="1" applyFill="1" applyAlignment="1">
      <alignment horizontal="center" vertical="center"/>
    </xf>
    <xf numFmtId="10" fontId="19" fillId="12" borderId="0" xfId="0" applyNumberFormat="1" applyFont="1" applyFill="1" applyAlignment="1">
      <alignment horizontal="center" vertical="center"/>
    </xf>
    <xf numFmtId="0" fontId="21" fillId="5" borderId="0" xfId="0" applyFont="1" applyFill="1" applyAlignment="1">
      <alignment horizontal="left" vertical="center"/>
    </xf>
    <xf numFmtId="10" fontId="22" fillId="12" borderId="14" xfId="0" applyNumberFormat="1" applyFont="1" applyFill="1" applyBorder="1" applyAlignment="1">
      <alignment vertical="top"/>
    </xf>
    <xf numFmtId="10" fontId="18" fillId="12" borderId="15" xfId="5" applyNumberFormat="1" applyFont="1" applyFill="1" applyBorder="1"/>
    <xf numFmtId="0" fontId="0" fillId="0" borderId="23" xfId="0" applyBorder="1" applyAlignment="1">
      <alignment horizontal="center"/>
    </xf>
    <xf numFmtId="0" fontId="0" fillId="0" borderId="24" xfId="0" applyBorder="1"/>
    <xf numFmtId="0" fontId="0" fillId="0" borderId="24" xfId="0" applyBorder="1" applyAlignment="1">
      <alignment horizontal="right"/>
    </xf>
    <xf numFmtId="164" fontId="0" fillId="0" borderId="24" xfId="6" applyFont="1" applyBorder="1" applyAlignment="1">
      <alignment horizontal="right"/>
    </xf>
    <xf numFmtId="164" fontId="0" fillId="5" borderId="24" xfId="6" applyFont="1" applyFill="1" applyBorder="1" applyAlignment="1">
      <alignment horizontal="right"/>
    </xf>
    <xf numFmtId="0" fontId="0" fillId="5" borderId="24" xfId="0" applyFill="1" applyBorder="1" applyAlignment="1">
      <alignment horizontal="right"/>
    </xf>
    <xf numFmtId="0" fontId="0" fillId="5" borderId="25" xfId="0" applyFill="1" applyBorder="1"/>
    <xf numFmtId="0" fontId="0" fillId="5" borderId="27" xfId="0" applyFill="1" applyBorder="1"/>
    <xf numFmtId="0" fontId="0" fillId="0" borderId="15" xfId="0" applyBorder="1"/>
    <xf numFmtId="0" fontId="44" fillId="0" borderId="15" xfId="0" applyFont="1" applyBorder="1" applyAlignment="1">
      <alignment horizontal="center"/>
    </xf>
    <xf numFmtId="0" fontId="44" fillId="0" borderId="15" xfId="0" applyFont="1" applyBorder="1"/>
    <xf numFmtId="0" fontId="44" fillId="0" borderId="15" xfId="0" applyFont="1" applyBorder="1" applyAlignment="1">
      <alignment horizontal="right"/>
    </xf>
    <xf numFmtId="0" fontId="43" fillId="10" borderId="15" xfId="0" applyFont="1" applyFill="1" applyBorder="1" applyAlignment="1">
      <alignment horizontal="center" wrapText="1"/>
    </xf>
    <xf numFmtId="164" fontId="43" fillId="10" borderId="15" xfId="6" applyFont="1" applyFill="1" applyBorder="1" applyAlignment="1">
      <alignment horizontal="right"/>
    </xf>
    <xf numFmtId="164" fontId="43" fillId="10" borderId="15" xfId="6" applyFont="1" applyFill="1" applyBorder="1" applyAlignment="1">
      <alignment horizontal="center" wrapText="1"/>
    </xf>
    <xf numFmtId="0" fontId="43" fillId="10" borderId="15" xfId="0" applyFont="1" applyFill="1" applyBorder="1" applyAlignment="1">
      <alignment horizontal="right"/>
    </xf>
    <xf numFmtId="0" fontId="0" fillId="5" borderId="15" xfId="0" applyFill="1" applyBorder="1"/>
    <xf numFmtId="0" fontId="0" fillId="5" borderId="15" xfId="0" applyFill="1" applyBorder="1" applyAlignment="1">
      <alignment horizontal="center"/>
    </xf>
    <xf numFmtId="0" fontId="21" fillId="5" borderId="15" xfId="0" applyFont="1" applyFill="1" applyBorder="1" applyAlignment="1">
      <alignment horizontal="left" vertical="top" wrapText="1"/>
    </xf>
    <xf numFmtId="0" fontId="0" fillId="5" borderId="15" xfId="0" applyFill="1" applyBorder="1" applyAlignment="1">
      <alignment horizontal="right"/>
    </xf>
    <xf numFmtId="164" fontId="0" fillId="5" borderId="15" xfId="6" applyFont="1" applyFill="1" applyBorder="1" applyAlignment="1">
      <alignment horizontal="right"/>
    </xf>
    <xf numFmtId="0" fontId="16" fillId="5" borderId="15" xfId="0" applyFont="1" applyFill="1" applyBorder="1" applyAlignment="1">
      <alignment horizontal="left" vertical="center" wrapText="1"/>
    </xf>
    <xf numFmtId="0" fontId="19" fillId="5" borderId="15" xfId="0" applyFont="1" applyFill="1" applyBorder="1" applyAlignment="1" applyProtection="1">
      <alignment horizontal="left" vertical="top" wrapText="1"/>
      <protection locked="0"/>
    </xf>
    <xf numFmtId="0" fontId="21" fillId="5" borderId="15" xfId="0" applyFont="1" applyFill="1" applyBorder="1" applyAlignment="1" applyProtection="1">
      <alignment horizontal="left" vertical="top" wrapText="1"/>
      <protection locked="0"/>
    </xf>
    <xf numFmtId="0" fontId="21" fillId="5" borderId="15" xfId="0" applyFont="1" applyFill="1" applyBorder="1" applyAlignment="1">
      <alignment vertical="top" wrapText="1"/>
    </xf>
    <xf numFmtId="0" fontId="16" fillId="5" borderId="15" xfId="0" applyFont="1" applyFill="1" applyBorder="1" applyAlignment="1">
      <alignment horizontal="left" vertical="top" wrapText="1"/>
    </xf>
    <xf numFmtId="0" fontId="0" fillId="5" borderId="29" xfId="0" applyFill="1" applyBorder="1"/>
    <xf numFmtId="0" fontId="21" fillId="5" borderId="29" xfId="0" applyFont="1" applyFill="1" applyBorder="1" applyAlignment="1">
      <alignment horizontal="left" vertical="top" wrapText="1"/>
    </xf>
    <xf numFmtId="0" fontId="0" fillId="5" borderId="29" xfId="0" applyFill="1" applyBorder="1" applyAlignment="1">
      <alignment horizontal="right"/>
    </xf>
    <xf numFmtId="0" fontId="0" fillId="13" borderId="16" xfId="0" applyFill="1" applyBorder="1"/>
    <xf numFmtId="2" fontId="44" fillId="13" borderId="31" xfId="0" applyNumberFormat="1" applyFont="1" applyFill="1" applyBorder="1" applyAlignment="1">
      <alignment horizontal="right"/>
    </xf>
    <xf numFmtId="164" fontId="44" fillId="13" borderId="31" xfId="6" applyFont="1" applyFill="1" applyBorder="1" applyAlignment="1">
      <alignment horizontal="right"/>
    </xf>
    <xf numFmtId="0" fontId="0" fillId="13" borderId="32" xfId="0" applyFill="1" applyBorder="1"/>
    <xf numFmtId="0" fontId="0" fillId="13" borderId="33" xfId="0" applyFill="1" applyBorder="1"/>
    <xf numFmtId="0" fontId="44" fillId="13" borderId="34" xfId="0" applyFont="1" applyFill="1" applyBorder="1"/>
    <xf numFmtId="0" fontId="44" fillId="13" borderId="35" xfId="0" applyFont="1" applyFill="1" applyBorder="1"/>
    <xf numFmtId="2" fontId="44" fillId="13" borderId="35" xfId="0" applyNumberFormat="1" applyFont="1" applyFill="1" applyBorder="1" applyAlignment="1">
      <alignment horizontal="right"/>
    </xf>
    <xf numFmtId="10" fontId="44" fillId="13" borderId="35" xfId="6" applyNumberFormat="1" applyFont="1" applyFill="1" applyBorder="1" applyAlignment="1">
      <alignment horizontal="right"/>
    </xf>
    <xf numFmtId="164" fontId="44" fillId="13" borderId="35" xfId="6" applyFont="1" applyFill="1" applyBorder="1" applyAlignment="1">
      <alignment horizontal="right"/>
    </xf>
    <xf numFmtId="0" fontId="0" fillId="13" borderId="36" xfId="0" applyFill="1" applyBorder="1"/>
    <xf numFmtId="0" fontId="0" fillId="0" borderId="0" xfId="0" applyAlignment="1">
      <alignment horizontal="center"/>
    </xf>
    <xf numFmtId="0" fontId="0" fillId="0" borderId="0" xfId="0" applyAlignment="1">
      <alignment horizontal="right"/>
    </xf>
    <xf numFmtId="10" fontId="0" fillId="0" borderId="0" xfId="6" applyNumberFormat="1" applyFont="1" applyAlignment="1">
      <alignment horizontal="right"/>
    </xf>
    <xf numFmtId="164" fontId="0" fillId="0" borderId="0" xfId="6" applyFont="1" applyAlignment="1">
      <alignment horizontal="right"/>
    </xf>
    <xf numFmtId="164" fontId="0" fillId="5" borderId="0" xfId="6" applyFont="1" applyFill="1" applyAlignment="1">
      <alignment horizontal="right"/>
    </xf>
    <xf numFmtId="0" fontId="0" fillId="5" borderId="0" xfId="0" applyFill="1" applyAlignment="1">
      <alignment horizontal="right"/>
    </xf>
    <xf numFmtId="0" fontId="0" fillId="5" borderId="0" xfId="0" applyFill="1"/>
    <xf numFmtId="2" fontId="0" fillId="5" borderId="0" xfId="0" applyNumberFormat="1" applyFill="1"/>
    <xf numFmtId="167" fontId="0" fillId="5" borderId="0" xfId="0" applyNumberFormat="1" applyFill="1"/>
    <xf numFmtId="10" fontId="21" fillId="6" borderId="21" xfId="0" applyNumberFormat="1" applyFont="1" applyFill="1" applyBorder="1" applyAlignment="1">
      <alignment horizontal="center" vertical="center"/>
    </xf>
    <xf numFmtId="0" fontId="14" fillId="0" borderId="0" xfId="0" applyFont="1" applyAlignment="1">
      <alignment horizontal="center" vertical="center"/>
    </xf>
    <xf numFmtId="10" fontId="37" fillId="11" borderId="14" xfId="0" applyNumberFormat="1" applyFont="1" applyFill="1" applyBorder="1" applyAlignment="1">
      <alignment horizontal="center" vertical="center"/>
    </xf>
    <xf numFmtId="10" fontId="21" fillId="7" borderId="0" xfId="0" applyNumberFormat="1" applyFont="1" applyFill="1" applyAlignment="1">
      <alignment horizontal="center" vertical="center"/>
    </xf>
    <xf numFmtId="0" fontId="36" fillId="7" borderId="8" xfId="0" applyFont="1" applyFill="1" applyBorder="1" applyAlignment="1">
      <alignment horizontal="center" vertical="top"/>
    </xf>
    <xf numFmtId="0" fontId="36" fillId="7" borderId="0" xfId="0" applyFont="1" applyFill="1" applyAlignment="1">
      <alignment horizontal="center" vertical="top"/>
    </xf>
    <xf numFmtId="10" fontId="30" fillId="7" borderId="8" xfId="0" applyNumberFormat="1" applyFont="1" applyFill="1" applyBorder="1" applyAlignment="1">
      <alignment horizontal="center" vertical="top"/>
    </xf>
    <xf numFmtId="10" fontId="18" fillId="12" borderId="8" xfId="0" applyNumberFormat="1" applyFont="1" applyFill="1" applyBorder="1" applyAlignment="1">
      <alignment vertical="top"/>
    </xf>
    <xf numFmtId="10" fontId="36" fillId="7" borderId="0" xfId="0" applyNumberFormat="1" applyFont="1" applyFill="1" applyAlignment="1">
      <alignment vertical="top"/>
    </xf>
    <xf numFmtId="10" fontId="31" fillId="7" borderId="0" xfId="0" applyNumberFormat="1" applyFont="1" applyFill="1" applyAlignment="1">
      <alignment vertical="top"/>
    </xf>
    <xf numFmtId="10" fontId="30" fillId="7" borderId="8" xfId="0" applyNumberFormat="1" applyFont="1" applyFill="1" applyBorder="1" applyAlignment="1">
      <alignment vertical="top"/>
    </xf>
    <xf numFmtId="10" fontId="36" fillId="7" borderId="8" xfId="0" applyNumberFormat="1" applyFont="1" applyFill="1" applyBorder="1" applyAlignment="1">
      <alignment vertical="top"/>
    </xf>
    <xf numFmtId="0" fontId="36" fillId="7" borderId="8" xfId="0" applyFont="1" applyFill="1" applyBorder="1" applyAlignment="1">
      <alignment vertical="top"/>
    </xf>
    <xf numFmtId="0" fontId="36" fillId="7" borderId="9" xfId="0" applyFont="1" applyFill="1" applyBorder="1" applyAlignment="1">
      <alignment vertical="top"/>
    </xf>
    <xf numFmtId="0" fontId="36" fillId="0" borderId="0" xfId="0" applyFont="1" applyAlignment="1">
      <alignment vertical="top"/>
    </xf>
    <xf numFmtId="10" fontId="18" fillId="12" borderId="15" xfId="5" applyNumberFormat="1" applyFont="1" applyFill="1" applyBorder="1" applyAlignment="1">
      <alignment vertical="top"/>
    </xf>
    <xf numFmtId="0" fontId="38" fillId="11" borderId="14" xfId="0" applyFont="1" applyFill="1" applyBorder="1" applyAlignment="1">
      <alignment horizontal="left" vertical="top"/>
    </xf>
    <xf numFmtId="0" fontId="38" fillId="5" borderId="14" xfId="0" applyFont="1" applyFill="1" applyBorder="1" applyAlignment="1">
      <alignment horizontal="left" vertical="top"/>
    </xf>
    <xf numFmtId="10" fontId="38" fillId="11" borderId="14" xfId="0" applyNumberFormat="1" applyFont="1" applyFill="1" applyBorder="1" applyAlignment="1">
      <alignment vertical="top"/>
    </xf>
    <xf numFmtId="10" fontId="38" fillId="5" borderId="14" xfId="0" applyNumberFormat="1" applyFont="1" applyFill="1" applyBorder="1" applyAlignment="1">
      <alignment vertical="top"/>
    </xf>
    <xf numFmtId="10" fontId="22" fillId="11" borderId="14" xfId="0" applyNumberFormat="1" applyFont="1" applyFill="1" applyBorder="1" applyAlignment="1">
      <alignment vertical="top"/>
    </xf>
    <xf numFmtId="165" fontId="21" fillId="5" borderId="0" xfId="0" applyNumberFormat="1" applyFont="1" applyFill="1" applyAlignment="1">
      <alignment vertical="top"/>
    </xf>
    <xf numFmtId="0" fontId="21" fillId="11" borderId="15" xfId="0" applyFont="1" applyFill="1" applyBorder="1" applyAlignment="1">
      <alignment horizontal="left" vertical="top"/>
    </xf>
    <xf numFmtId="0" fontId="36" fillId="11" borderId="15" xfId="0" applyFont="1" applyFill="1" applyBorder="1" applyAlignment="1">
      <alignment horizontal="left" vertical="top"/>
    </xf>
    <xf numFmtId="10" fontId="21" fillId="6" borderId="0" xfId="5" applyNumberFormat="1" applyFont="1" applyFill="1" applyBorder="1" applyAlignment="1">
      <alignment horizontal="center" vertical="center" wrapText="1"/>
    </xf>
    <xf numFmtId="0" fontId="21" fillId="7" borderId="21" xfId="0" applyFont="1" applyFill="1" applyBorder="1" applyAlignment="1">
      <alignment horizontal="left" vertical="center"/>
    </xf>
    <xf numFmtId="0" fontId="19" fillId="0" borderId="0" xfId="0" applyFont="1" applyAlignment="1">
      <alignment vertical="center"/>
    </xf>
    <xf numFmtId="165" fontId="19" fillId="7" borderId="0" xfId="0" applyNumberFormat="1" applyFont="1" applyFill="1" applyAlignment="1">
      <alignment vertical="center"/>
    </xf>
    <xf numFmtId="0" fontId="40" fillId="7" borderId="0" xfId="0" applyFont="1" applyFill="1" applyAlignment="1">
      <alignment vertical="center"/>
    </xf>
    <xf numFmtId="0" fontId="40" fillId="7" borderId="6" xfId="0" applyFont="1" applyFill="1" applyBorder="1" applyAlignment="1">
      <alignment vertical="center"/>
    </xf>
    <xf numFmtId="0" fontId="40" fillId="0" borderId="0" xfId="0" applyFont="1" applyAlignment="1">
      <alignment vertical="center"/>
    </xf>
    <xf numFmtId="0" fontId="23" fillId="6" borderId="0" xfId="0" applyFont="1" applyFill="1" applyAlignment="1">
      <alignment horizontal="center" vertical="center" wrapText="1"/>
    </xf>
    <xf numFmtId="0" fontId="21" fillId="7" borderId="21" xfId="0" applyFont="1" applyFill="1" applyBorder="1" applyAlignment="1">
      <alignment horizontal="center" vertical="center"/>
    </xf>
    <xf numFmtId="0" fontId="19" fillId="7" borderId="0" xfId="0" applyFont="1" applyFill="1" applyAlignment="1">
      <alignment horizontal="center" vertical="center"/>
    </xf>
    <xf numFmtId="0" fontId="19" fillId="0" borderId="0" xfId="0" applyFont="1" applyAlignment="1">
      <alignment horizontal="center" vertical="center"/>
    </xf>
    <xf numFmtId="165" fontId="19" fillId="7" borderId="0" xfId="0" applyNumberFormat="1" applyFont="1" applyFill="1" applyAlignment="1">
      <alignment horizontal="center" vertical="center"/>
    </xf>
    <xf numFmtId="0" fontId="15" fillId="6" borderId="0" xfId="0" applyFont="1" applyFill="1" applyAlignment="1">
      <alignment horizontal="center" vertical="center" wrapText="1"/>
    </xf>
    <xf numFmtId="0" fontId="23" fillId="6" borderId="0" xfId="0" applyFont="1" applyFill="1" applyAlignment="1">
      <alignment horizontal="left" vertical="center" wrapText="1"/>
    </xf>
    <xf numFmtId="165" fontId="19" fillId="7" borderId="0" xfId="0" applyNumberFormat="1" applyFont="1" applyFill="1" applyAlignment="1">
      <alignment horizontal="left" vertical="center"/>
    </xf>
    <xf numFmtId="0" fontId="40" fillId="7" borderId="0" xfId="0" applyFont="1" applyFill="1" applyAlignment="1">
      <alignment horizontal="left" vertical="center"/>
    </xf>
    <xf numFmtId="0" fontId="15" fillId="6" borderId="0" xfId="0" applyFont="1" applyFill="1" applyAlignment="1">
      <alignment horizontal="left" vertical="center" wrapText="1"/>
    </xf>
    <xf numFmtId="0" fontId="40" fillId="7" borderId="6" xfId="0" applyFont="1" applyFill="1" applyBorder="1" applyAlignment="1">
      <alignment horizontal="left" vertical="center"/>
    </xf>
    <xf numFmtId="0" fontId="40" fillId="0" borderId="0" xfId="0" applyFont="1" applyAlignment="1">
      <alignment horizontal="left" vertical="center"/>
    </xf>
    <xf numFmtId="10" fontId="21" fillId="6" borderId="21" xfId="0" applyNumberFormat="1" applyFont="1" applyFill="1" applyBorder="1" applyAlignment="1">
      <alignment vertical="center" wrapText="1"/>
    </xf>
    <xf numFmtId="10" fontId="21" fillId="6" borderId="0" xfId="0" applyNumberFormat="1" applyFont="1" applyFill="1" applyAlignment="1">
      <alignment vertical="center" wrapText="1"/>
    </xf>
    <xf numFmtId="0" fontId="14" fillId="0" borderId="0" xfId="0" applyFont="1" applyAlignment="1">
      <alignment vertical="center"/>
    </xf>
    <xf numFmtId="0" fontId="13" fillId="7" borderId="2" xfId="0" applyFont="1" applyFill="1" applyBorder="1" applyAlignment="1">
      <alignment vertical="center"/>
    </xf>
    <xf numFmtId="0" fontId="13" fillId="7" borderId="0" xfId="0" applyFont="1" applyFill="1" applyAlignment="1">
      <alignment horizontal="left" vertical="center"/>
    </xf>
    <xf numFmtId="10" fontId="21" fillId="6" borderId="0" xfId="5" applyNumberFormat="1" applyFont="1" applyFill="1" applyBorder="1" applyAlignment="1">
      <alignment horizontal="center" vertical="center"/>
    </xf>
    <xf numFmtId="166" fontId="37" fillId="11" borderId="13" xfId="5" applyNumberFormat="1" applyFont="1" applyFill="1" applyBorder="1" applyAlignment="1">
      <alignment horizontal="center" vertical="center"/>
    </xf>
    <xf numFmtId="0" fontId="36" fillId="0" borderId="0" xfId="0" applyFont="1" applyAlignment="1">
      <alignment vertical="center"/>
    </xf>
    <xf numFmtId="0" fontId="18" fillId="6" borderId="0" xfId="0" applyFont="1" applyFill="1" applyAlignment="1" applyProtection="1">
      <alignment horizontal="left" vertical="center" wrapText="1"/>
      <protection locked="0"/>
    </xf>
    <xf numFmtId="0" fontId="21" fillId="7" borderId="0" xfId="0" applyFont="1" applyFill="1" applyAlignment="1">
      <alignment vertical="center"/>
    </xf>
    <xf numFmtId="0" fontId="24" fillId="6" borderId="0" xfId="0" applyFont="1" applyFill="1" applyAlignment="1">
      <alignment vertical="center" wrapText="1"/>
    </xf>
    <xf numFmtId="0" fontId="24" fillId="7" borderId="0" xfId="0" applyFont="1" applyFill="1" applyAlignment="1">
      <alignment vertical="center"/>
    </xf>
    <xf numFmtId="0" fontId="24" fillId="7" borderId="6" xfId="0" applyFont="1" applyFill="1" applyBorder="1" applyAlignment="1">
      <alignment vertical="center"/>
    </xf>
    <xf numFmtId="0" fontId="22" fillId="6" borderId="0" xfId="0" applyFont="1" applyFill="1" applyAlignment="1" applyProtection="1">
      <alignment vertical="center" wrapText="1"/>
      <protection locked="0"/>
    </xf>
    <xf numFmtId="0" fontId="21" fillId="5" borderId="0" xfId="0" applyFont="1" applyFill="1" applyAlignment="1">
      <alignment vertical="center"/>
    </xf>
    <xf numFmtId="0" fontId="19" fillId="6" borderId="0" xfId="0" applyFont="1" applyFill="1" applyAlignment="1" applyProtection="1">
      <alignment vertical="center" wrapText="1"/>
      <protection locked="0"/>
    </xf>
    <xf numFmtId="0" fontId="15" fillId="7" borderId="0" xfId="0" applyFont="1" applyFill="1" applyAlignment="1">
      <alignment vertical="center"/>
    </xf>
    <xf numFmtId="0" fontId="24" fillId="6" borderId="0" xfId="0" applyFont="1" applyFill="1" applyAlignment="1">
      <alignment horizontal="left" vertical="center"/>
    </xf>
    <xf numFmtId="0" fontId="24" fillId="6" borderId="0" xfId="0" applyFont="1" applyFill="1" applyAlignment="1">
      <alignment horizontal="left" vertical="center" wrapText="1"/>
    </xf>
    <xf numFmtId="0" fontId="21" fillId="7" borderId="21" xfId="0" applyFont="1" applyFill="1" applyBorder="1" applyAlignment="1">
      <alignment vertical="center"/>
    </xf>
    <xf numFmtId="0" fontId="21" fillId="6" borderId="0" xfId="0" applyFont="1" applyFill="1" applyAlignment="1" applyProtection="1">
      <alignment horizontal="left" vertical="center" wrapText="1"/>
      <protection locked="0"/>
    </xf>
    <xf numFmtId="0" fontId="14" fillId="7" borderId="6" xfId="0" applyFont="1" applyFill="1" applyBorder="1" applyAlignment="1">
      <alignment vertical="center"/>
    </xf>
    <xf numFmtId="4" fontId="19" fillId="7" borderId="0" xfId="0" applyNumberFormat="1" applyFont="1" applyFill="1" applyAlignment="1">
      <alignment vertical="center"/>
    </xf>
    <xf numFmtId="0" fontId="36" fillId="5" borderId="0" xfId="0" applyFont="1" applyFill="1" applyAlignment="1">
      <alignment horizontal="center" vertical="center"/>
    </xf>
    <xf numFmtId="4" fontId="19" fillId="7" borderId="0" xfId="0" applyNumberFormat="1" applyFont="1" applyFill="1" applyAlignment="1">
      <alignment horizontal="center" vertical="center"/>
    </xf>
    <xf numFmtId="0" fontId="24" fillId="7" borderId="0" xfId="0" applyFont="1" applyFill="1" applyAlignment="1">
      <alignment horizontal="center" vertical="center"/>
    </xf>
    <xf numFmtId="0" fontId="24" fillId="6" borderId="0" xfId="0" applyFont="1" applyFill="1" applyAlignment="1">
      <alignment horizontal="center" vertical="center" wrapText="1"/>
    </xf>
    <xf numFmtId="0" fontId="14" fillId="7" borderId="6" xfId="0" applyFont="1" applyFill="1" applyBorder="1" applyAlignment="1">
      <alignment horizontal="center" vertical="center"/>
    </xf>
    <xf numFmtId="0" fontId="21" fillId="7" borderId="22" xfId="0" applyFont="1" applyFill="1" applyBorder="1" applyAlignment="1">
      <alignment horizontal="left" vertical="center"/>
    </xf>
    <xf numFmtId="0" fontId="42" fillId="7" borderId="0" xfId="0" applyFont="1" applyFill="1" applyAlignment="1">
      <alignment vertical="center"/>
    </xf>
    <xf numFmtId="0" fontId="42" fillId="7" borderId="6" xfId="0" applyFont="1" applyFill="1" applyBorder="1" applyAlignment="1">
      <alignment vertical="center"/>
    </xf>
    <xf numFmtId="0" fontId="42" fillId="0" borderId="0" xfId="0" applyFont="1" applyAlignment="1">
      <alignment vertical="center"/>
    </xf>
    <xf numFmtId="0" fontId="41" fillId="7" borderId="0" xfId="0" applyFont="1" applyFill="1" applyAlignment="1">
      <alignment horizontal="center" vertical="center"/>
    </xf>
    <xf numFmtId="0" fontId="21" fillId="5" borderId="0" xfId="0" applyFont="1" applyFill="1" applyAlignment="1">
      <alignment horizontal="center" vertical="center"/>
    </xf>
    <xf numFmtId="0" fontId="21" fillId="7" borderId="22" xfId="0" applyFont="1" applyFill="1" applyBorder="1" applyAlignment="1">
      <alignment horizontal="center" vertical="center"/>
    </xf>
    <xf numFmtId="0" fontId="42" fillId="7" borderId="0" xfId="0" applyFont="1" applyFill="1" applyAlignment="1">
      <alignment horizontal="center" vertical="center"/>
    </xf>
    <xf numFmtId="0" fontId="42" fillId="7" borderId="6" xfId="0" applyFont="1" applyFill="1" applyBorder="1" applyAlignment="1">
      <alignment horizontal="center" vertical="center"/>
    </xf>
    <xf numFmtId="0" fontId="42" fillId="0" borderId="0" xfId="0" applyFont="1" applyAlignment="1">
      <alignment horizontal="center" vertical="center"/>
    </xf>
    <xf numFmtId="10" fontId="21" fillId="6" borderId="21" xfId="0" applyNumberFormat="1" applyFont="1" applyFill="1" applyBorder="1" applyAlignment="1">
      <alignment vertical="center"/>
    </xf>
    <xf numFmtId="0" fontId="18" fillId="6" borderId="0" xfId="0" applyFont="1" applyFill="1" applyAlignment="1">
      <alignment horizontal="left" vertical="center" wrapText="1"/>
    </xf>
    <xf numFmtId="0" fontId="14" fillId="6" borderId="0" xfId="0" applyFont="1" applyFill="1" applyAlignment="1">
      <alignment horizontal="center" vertical="center" wrapText="1"/>
    </xf>
    <xf numFmtId="10" fontId="19" fillId="12" borderId="0" xfId="0" applyNumberFormat="1" applyFont="1" applyFill="1" applyAlignment="1">
      <alignment horizontal="right" vertical="center"/>
    </xf>
    <xf numFmtId="166" fontId="30" fillId="7" borderId="8" xfId="0" applyNumberFormat="1" applyFont="1" applyFill="1" applyBorder="1" applyAlignment="1">
      <alignment horizontal="center" vertical="center"/>
    </xf>
    <xf numFmtId="10" fontId="20" fillId="12" borderId="2" xfId="0" applyNumberFormat="1" applyFont="1" applyFill="1" applyBorder="1"/>
    <xf numFmtId="10" fontId="20" fillId="12" borderId="0" xfId="0" applyNumberFormat="1" applyFont="1" applyFill="1" applyAlignment="1">
      <alignment horizontal="left"/>
    </xf>
    <xf numFmtId="10" fontId="24" fillId="12" borderId="0" xfId="0" applyNumberFormat="1" applyFont="1" applyFill="1" applyAlignment="1">
      <alignment horizontal="center" vertical="center"/>
    </xf>
    <xf numFmtId="10" fontId="20" fillId="12" borderId="0" xfId="0" applyNumberFormat="1" applyFont="1" applyFill="1" applyAlignment="1">
      <alignment horizontal="center"/>
    </xf>
    <xf numFmtId="10" fontId="14" fillId="0" borderId="0" xfId="0" applyNumberFormat="1" applyFont="1" applyAlignment="1">
      <alignment horizontal="center" vertical="center"/>
    </xf>
    <xf numFmtId="10" fontId="13" fillId="7" borderId="2" xfId="0" applyNumberFormat="1" applyFont="1" applyFill="1" applyBorder="1" applyAlignment="1">
      <alignment horizontal="center" vertical="center"/>
    </xf>
    <xf numFmtId="10" fontId="13" fillId="7" borderId="0" xfId="0" applyNumberFormat="1" applyFont="1" applyFill="1" applyAlignment="1">
      <alignment horizontal="center" vertical="center"/>
    </xf>
    <xf numFmtId="10" fontId="26" fillId="10" borderId="0" xfId="0" applyNumberFormat="1" applyFont="1" applyFill="1" applyAlignment="1">
      <alignment horizontal="center" vertical="center"/>
    </xf>
    <xf numFmtId="10" fontId="35" fillId="7" borderId="0" xfId="0" applyNumberFormat="1" applyFont="1" applyFill="1" applyAlignment="1">
      <alignment horizontal="center" vertical="center"/>
    </xf>
    <xf numFmtId="10" fontId="30" fillId="0" borderId="15" xfId="0" applyNumberFormat="1" applyFont="1" applyBorder="1" applyAlignment="1">
      <alignment horizontal="center" vertical="center"/>
    </xf>
    <xf numFmtId="10" fontId="24" fillId="0" borderId="0" xfId="0" applyNumberFormat="1" applyFont="1"/>
    <xf numFmtId="10" fontId="14" fillId="0" borderId="0" xfId="0" applyNumberFormat="1" applyFont="1"/>
    <xf numFmtId="10" fontId="15" fillId="0" borderId="0" xfId="0" applyNumberFormat="1" applyFont="1"/>
    <xf numFmtId="10" fontId="15" fillId="12" borderId="0" xfId="0" applyNumberFormat="1" applyFont="1" applyFill="1" applyAlignment="1">
      <alignment vertical="top"/>
    </xf>
    <xf numFmtId="10" fontId="20" fillId="7" borderId="2" xfId="0" applyNumberFormat="1" applyFont="1" applyFill="1" applyBorder="1"/>
    <xf numFmtId="10" fontId="13" fillId="7" borderId="2" xfId="0" applyNumberFormat="1" applyFont="1" applyFill="1" applyBorder="1"/>
    <xf numFmtId="10" fontId="18" fillId="7" borderId="2" xfId="0" applyNumberFormat="1" applyFont="1" applyFill="1" applyBorder="1"/>
    <xf numFmtId="10" fontId="18" fillId="12" borderId="2" xfId="0" applyNumberFormat="1" applyFont="1" applyFill="1" applyBorder="1" applyAlignment="1">
      <alignment vertical="top"/>
    </xf>
    <xf numFmtId="10" fontId="20" fillId="7" borderId="0" xfId="0" applyNumberFormat="1" applyFont="1" applyFill="1" applyAlignment="1">
      <alignment horizontal="left"/>
    </xf>
    <xf numFmtId="10" fontId="13" fillId="7" borderId="0" xfId="0" applyNumberFormat="1" applyFont="1" applyFill="1" applyAlignment="1">
      <alignment horizontal="left"/>
    </xf>
    <xf numFmtId="10" fontId="18" fillId="7" borderId="0" xfId="0" applyNumberFormat="1" applyFont="1" applyFill="1"/>
    <xf numFmtId="10" fontId="18" fillId="12" borderId="0" xfId="0" applyNumberFormat="1" applyFont="1" applyFill="1" applyAlignment="1">
      <alignment vertical="top"/>
    </xf>
    <xf numFmtId="10" fontId="14" fillId="7" borderId="0" xfId="0" applyNumberFormat="1" applyFont="1" applyFill="1" applyAlignment="1">
      <alignment horizontal="center" vertical="center"/>
    </xf>
    <xf numFmtId="10" fontId="26" fillId="7" borderId="0" xfId="0" applyNumberFormat="1" applyFont="1" applyFill="1" applyAlignment="1">
      <alignment horizontal="center"/>
    </xf>
    <xf numFmtId="10" fontId="26" fillId="10" borderId="0" xfId="0" applyNumberFormat="1" applyFont="1" applyFill="1" applyAlignment="1">
      <alignment horizontal="center"/>
    </xf>
    <xf numFmtId="10" fontId="33" fillId="10" borderId="0" xfId="0" applyNumberFormat="1" applyFont="1" applyFill="1" applyAlignment="1">
      <alignment horizontal="center"/>
    </xf>
    <xf numFmtId="10" fontId="34" fillId="10" borderId="0" xfId="0" applyNumberFormat="1" applyFont="1" applyFill="1"/>
    <xf numFmtId="10" fontId="20" fillId="7" borderId="0" xfId="0" applyNumberFormat="1" applyFont="1" applyFill="1" applyAlignment="1">
      <alignment horizontal="center"/>
    </xf>
    <xf numFmtId="10" fontId="35" fillId="7" borderId="0" xfId="0" applyNumberFormat="1" applyFont="1" applyFill="1" applyAlignment="1">
      <alignment horizontal="center"/>
    </xf>
    <xf numFmtId="10" fontId="37" fillId="11" borderId="13" xfId="5" applyNumberFormat="1" applyFont="1" applyFill="1" applyBorder="1" applyAlignment="1">
      <alignment horizontal="center" vertical="top"/>
    </xf>
    <xf numFmtId="10" fontId="19" fillId="0" borderId="0" xfId="0" applyNumberFormat="1" applyFont="1" applyAlignment="1">
      <alignment vertical="center"/>
    </xf>
    <xf numFmtId="10" fontId="19" fillId="7" borderId="0" xfId="0" applyNumberFormat="1" applyFont="1" applyFill="1" applyAlignment="1">
      <alignment vertical="center"/>
    </xf>
    <xf numFmtId="10" fontId="19" fillId="0" borderId="0" xfId="0" applyNumberFormat="1" applyFont="1" applyAlignment="1">
      <alignment horizontal="left" vertical="center"/>
    </xf>
    <xf numFmtId="10" fontId="19" fillId="0" borderId="0" xfId="0" applyNumberFormat="1" applyFont="1"/>
    <xf numFmtId="10" fontId="19" fillId="0" borderId="0" xfId="0" applyNumberFormat="1" applyFont="1" applyAlignment="1">
      <alignment horizontal="center" vertical="center"/>
    </xf>
    <xf numFmtId="10" fontId="19" fillId="7" borderId="0" xfId="0" applyNumberFormat="1" applyFont="1" applyFill="1" applyAlignment="1">
      <alignment horizontal="center" vertical="center"/>
    </xf>
    <xf numFmtId="10" fontId="18" fillId="0" borderId="15" xfId="0" applyNumberFormat="1" applyFont="1" applyBorder="1"/>
    <xf numFmtId="10" fontId="30" fillId="0" borderId="15" xfId="0" applyNumberFormat="1" applyFont="1" applyBorder="1"/>
    <xf numFmtId="10" fontId="36" fillId="0" borderId="0" xfId="0" applyNumberFormat="1" applyFont="1"/>
    <xf numFmtId="10" fontId="24" fillId="12" borderId="0" xfId="6" applyNumberFormat="1" applyFont="1" applyFill="1"/>
    <xf numFmtId="168" fontId="0" fillId="0" borderId="0" xfId="6" applyNumberFormat="1" applyFont="1" applyAlignment="1">
      <alignment horizontal="right"/>
    </xf>
    <xf numFmtId="17" fontId="0" fillId="0" borderId="0" xfId="0" applyNumberFormat="1" applyAlignment="1">
      <alignment horizontal="right"/>
    </xf>
    <xf numFmtId="169" fontId="19" fillId="12" borderId="0" xfId="0" applyNumberFormat="1" applyFont="1" applyFill="1" applyAlignment="1">
      <alignment vertical="center"/>
    </xf>
    <xf numFmtId="0" fontId="26" fillId="10" borderId="0" xfId="0" applyFont="1" applyFill="1" applyAlignment="1">
      <alignment horizontal="center" vertical="center" wrapText="1"/>
    </xf>
    <xf numFmtId="10" fontId="36" fillId="6" borderId="0" xfId="5" applyNumberFormat="1" applyFont="1" applyFill="1" applyBorder="1" applyAlignment="1">
      <alignment horizontal="center" vertical="center"/>
    </xf>
    <xf numFmtId="169" fontId="21" fillId="6" borderId="21" xfId="0" applyNumberFormat="1" applyFont="1" applyFill="1" applyBorder="1" applyAlignment="1">
      <alignment horizontal="center" vertical="center"/>
    </xf>
    <xf numFmtId="169" fontId="19" fillId="12" borderId="0" xfId="0" applyNumberFormat="1" applyFont="1" applyFill="1" applyAlignment="1">
      <alignment horizontal="right" vertical="center"/>
    </xf>
    <xf numFmtId="10" fontId="21" fillId="0" borderId="0" xfId="0" applyNumberFormat="1" applyFont="1" applyAlignment="1">
      <alignment vertical="center"/>
    </xf>
    <xf numFmtId="10" fontId="21" fillId="6" borderId="0" xfId="0" applyNumberFormat="1" applyFont="1" applyFill="1" applyAlignment="1">
      <alignment vertical="center"/>
    </xf>
    <xf numFmtId="4" fontId="21" fillId="7" borderId="0" xfId="0" applyNumberFormat="1" applyFont="1" applyFill="1" applyAlignment="1">
      <alignment vertical="center"/>
    </xf>
    <xf numFmtId="0" fontId="14" fillId="7" borderId="0" xfId="0" applyFont="1" applyFill="1" applyAlignment="1">
      <alignment vertical="center"/>
    </xf>
    <xf numFmtId="169" fontId="19" fillId="6" borderId="0" xfId="0" applyNumberFormat="1" applyFont="1" applyFill="1" applyAlignment="1">
      <alignment horizontal="center" vertical="center"/>
    </xf>
    <xf numFmtId="0" fontId="5" fillId="7" borderId="2" xfId="0" applyFont="1" applyFill="1" applyBorder="1" applyAlignment="1">
      <alignment horizontal="left"/>
    </xf>
    <xf numFmtId="0" fontId="5" fillId="7" borderId="1" xfId="0" applyFont="1" applyFill="1" applyBorder="1" applyAlignment="1">
      <alignment horizontal="left"/>
    </xf>
    <xf numFmtId="0" fontId="6" fillId="7" borderId="3" xfId="0" applyFont="1" applyFill="1" applyBorder="1" applyAlignment="1">
      <alignment horizontal="center"/>
    </xf>
    <xf numFmtId="0" fontId="6" fillId="7" borderId="5" xfId="0" applyFont="1" applyFill="1" applyBorder="1" applyAlignment="1">
      <alignment horizontal="center"/>
    </xf>
    <xf numFmtId="0" fontId="6" fillId="7" borderId="7" xfId="0" applyFont="1" applyFill="1" applyBorder="1" applyAlignment="1">
      <alignment horizontal="center"/>
    </xf>
    <xf numFmtId="0" fontId="4" fillId="7" borderId="8" xfId="0" applyFont="1" applyFill="1" applyBorder="1" applyAlignment="1">
      <alignment horizontal="center"/>
    </xf>
    <xf numFmtId="0" fontId="4" fillId="7" borderId="4" xfId="0" applyFont="1" applyFill="1" applyBorder="1" applyAlignment="1">
      <alignment horizontal="center"/>
    </xf>
    <xf numFmtId="0" fontId="4" fillId="7" borderId="6" xfId="0" applyFont="1" applyFill="1" applyBorder="1" applyAlignment="1">
      <alignment horizontal="center"/>
    </xf>
    <xf numFmtId="0" fontId="4" fillId="7" borderId="9" xfId="0" applyFont="1" applyFill="1" applyBorder="1" applyAlignment="1">
      <alignment horizontal="center"/>
    </xf>
    <xf numFmtId="0" fontId="7" fillId="7" borderId="0" xfId="0" applyFont="1" applyFill="1" applyAlignment="1">
      <alignment horizontal="left"/>
    </xf>
    <xf numFmtId="0" fontId="26" fillId="10" borderId="0" xfId="0" applyFont="1" applyFill="1" applyAlignment="1">
      <alignment horizontal="center" vertical="center"/>
    </xf>
    <xf numFmtId="0" fontId="26" fillId="10" borderId="0" xfId="0" applyFont="1" applyFill="1" applyAlignment="1">
      <alignment vertical="center" wrapText="1"/>
    </xf>
    <xf numFmtId="0" fontId="21" fillId="0" borderId="0" xfId="0" applyFont="1" applyAlignment="1">
      <alignment vertical="center" wrapText="1"/>
    </xf>
    <xf numFmtId="0" fontId="23" fillId="6" borderId="20" xfId="0" applyFont="1" applyFill="1" applyBorder="1" applyAlignment="1">
      <alignment horizontal="left" vertical="top" wrapText="1"/>
    </xf>
    <xf numFmtId="0" fontId="23" fillId="6" borderId="0" xfId="0" applyFont="1" applyFill="1" applyAlignment="1">
      <alignment horizontal="left" vertical="top" wrapText="1"/>
    </xf>
    <xf numFmtId="0" fontId="26" fillId="10" borderId="0" xfId="0" applyFont="1" applyFill="1" applyAlignment="1">
      <alignment horizontal="center" vertical="center" wrapText="1"/>
    </xf>
    <xf numFmtId="10" fontId="26" fillId="10" borderId="20" xfId="0" applyNumberFormat="1" applyFont="1" applyFill="1" applyBorder="1" applyAlignment="1">
      <alignment horizontal="center"/>
    </xf>
    <xf numFmtId="0" fontId="25" fillId="7" borderId="3" xfId="0" applyFont="1" applyFill="1" applyBorder="1" applyAlignment="1">
      <alignment horizontal="center"/>
    </xf>
    <xf numFmtId="0" fontId="25" fillId="7" borderId="5" xfId="0" applyFont="1" applyFill="1" applyBorder="1" applyAlignment="1">
      <alignment horizontal="center"/>
    </xf>
    <xf numFmtId="0" fontId="25" fillId="7" borderId="7" xfId="0" applyFont="1" applyFill="1" applyBorder="1" applyAlignment="1">
      <alignment horizontal="center"/>
    </xf>
    <xf numFmtId="0" fontId="26" fillId="10" borderId="20" xfId="0" applyFont="1" applyFill="1" applyBorder="1" applyAlignment="1">
      <alignment horizontal="center"/>
    </xf>
    <xf numFmtId="0" fontId="26" fillId="10" borderId="2" xfId="0" applyFont="1" applyFill="1" applyBorder="1" applyAlignment="1">
      <alignment horizontal="center" vertical="center"/>
    </xf>
    <xf numFmtId="0" fontId="26" fillId="10" borderId="16" xfId="0" applyFont="1" applyFill="1" applyBorder="1" applyAlignment="1">
      <alignment horizontal="center"/>
    </xf>
    <xf numFmtId="0" fontId="26" fillId="10" borderId="17" xfId="0" applyFont="1" applyFill="1" applyBorder="1" applyAlignment="1">
      <alignment horizontal="center"/>
    </xf>
    <xf numFmtId="0" fontId="26" fillId="10" borderId="18" xfId="0" applyFont="1" applyFill="1" applyBorder="1" applyAlignment="1">
      <alignment horizontal="center"/>
    </xf>
    <xf numFmtId="10" fontId="26" fillId="10" borderId="0" xfId="0" applyNumberFormat="1" applyFont="1" applyFill="1" applyAlignment="1">
      <alignment horizontal="center"/>
    </xf>
    <xf numFmtId="0" fontId="27" fillId="9" borderId="13" xfId="0" applyFont="1" applyFill="1" applyBorder="1" applyAlignment="1">
      <alignment horizontal="left" vertical="center"/>
    </xf>
    <xf numFmtId="0" fontId="27" fillId="9" borderId="14" xfId="0" applyFont="1" applyFill="1" applyBorder="1" applyAlignment="1">
      <alignment horizontal="left" vertical="center"/>
    </xf>
    <xf numFmtId="0" fontId="27" fillId="9" borderId="19" xfId="0" applyFont="1" applyFill="1" applyBorder="1" applyAlignment="1">
      <alignment horizontal="left" vertical="center"/>
    </xf>
    <xf numFmtId="0" fontId="30" fillId="8" borderId="13" xfId="0" applyFont="1" applyFill="1" applyBorder="1" applyAlignment="1">
      <alignment horizontal="center" vertical="center"/>
    </xf>
    <xf numFmtId="0" fontId="30" fillId="8" borderId="14" xfId="0" applyFont="1" applyFill="1" applyBorder="1" applyAlignment="1">
      <alignment horizontal="center" vertical="center"/>
    </xf>
    <xf numFmtId="0" fontId="30" fillId="8" borderId="19" xfId="0" applyFont="1" applyFill="1" applyBorder="1" applyAlignment="1">
      <alignment horizontal="center" vertical="center"/>
    </xf>
    <xf numFmtId="0" fontId="44" fillId="13" borderId="30" xfId="0" applyFont="1" applyFill="1" applyBorder="1"/>
    <xf numFmtId="0" fontId="44" fillId="13" borderId="31" xfId="0" applyFont="1" applyFill="1" applyBorder="1"/>
    <xf numFmtId="0" fontId="43" fillId="10" borderId="26" xfId="0" applyFont="1" applyFill="1" applyBorder="1" applyAlignment="1">
      <alignment horizontal="center"/>
    </xf>
    <xf numFmtId="0" fontId="43" fillId="10" borderId="15" xfId="0" applyFont="1" applyFill="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43" fillId="10" borderId="15" xfId="0" applyFont="1" applyFill="1" applyBorder="1" applyAlignment="1">
      <alignment horizontal="center" wrapText="1"/>
    </xf>
    <xf numFmtId="10" fontId="37" fillId="14" borderId="14" xfId="0" applyNumberFormat="1" applyFont="1" applyFill="1" applyBorder="1" applyAlignment="1">
      <alignment horizontal="center" vertical="center"/>
    </xf>
    <xf numFmtId="0" fontId="45" fillId="6" borderId="22" xfId="0" applyFont="1" applyFill="1" applyBorder="1" applyAlignment="1">
      <alignment vertical="center" wrapText="1"/>
    </xf>
    <xf numFmtId="0" fontId="19" fillId="6" borderId="22" xfId="0" applyFont="1" applyFill="1" applyBorder="1" applyAlignment="1">
      <alignment horizontal="left" vertical="center" wrapText="1"/>
    </xf>
    <xf numFmtId="0" fontId="19" fillId="6" borderId="0" xfId="0" applyFont="1" applyFill="1" applyAlignment="1">
      <alignment horizontal="left" vertical="center" wrapText="1"/>
    </xf>
    <xf numFmtId="0" fontId="45" fillId="9" borderId="22" xfId="0" applyFont="1" applyFill="1" applyBorder="1" applyAlignment="1">
      <alignment horizontal="left" vertical="center" wrapText="1"/>
    </xf>
    <xf numFmtId="0" fontId="19" fillId="9" borderId="22" xfId="0" applyFont="1" applyFill="1" applyBorder="1" applyAlignment="1">
      <alignment vertical="center" wrapText="1"/>
    </xf>
    <xf numFmtId="0" fontId="24" fillId="9" borderId="0" xfId="0" applyFont="1" applyFill="1" applyAlignment="1">
      <alignment horizontal="left" vertical="center" wrapText="1"/>
    </xf>
    <xf numFmtId="0" fontId="19" fillId="6" borderId="21" xfId="0" applyFont="1" applyFill="1" applyBorder="1" applyAlignment="1">
      <alignment horizontal="left" vertical="center" wrapText="1"/>
    </xf>
  </cellXfs>
  <cellStyles count="7">
    <cellStyle name="Bad" xfId="2" builtinId="27"/>
    <cellStyle name="Comma" xfId="6" builtinId="3"/>
    <cellStyle name="Good" xfId="1" builtinId="26"/>
    <cellStyle name="Hyperlink" xfId="4" builtinId="8"/>
    <cellStyle name="Neutral" xfId="3" builtinId="28"/>
    <cellStyle name="Normal" xfId="0" builtinId="0"/>
    <cellStyle name="Percent" xfId="5" builtinId="5"/>
  </cellStyles>
  <dxfs count="8">
    <dxf>
      <font>
        <color theme="7"/>
      </font>
      <fill>
        <patternFill>
          <bgColor theme="7"/>
        </patternFill>
      </fill>
    </dxf>
    <dxf>
      <font>
        <color theme="4"/>
      </font>
      <fill>
        <patternFill>
          <bgColor theme="4"/>
        </patternFill>
      </fill>
    </dxf>
    <dxf>
      <font>
        <color theme="9"/>
      </font>
      <numFmt numFmtId="1" formatCode="0"/>
      <fill>
        <patternFill>
          <bgColor theme="9"/>
        </patternFill>
      </fill>
    </dxf>
    <dxf>
      <font>
        <color theme="0"/>
      </font>
    </dxf>
    <dxf>
      <font>
        <color theme="7"/>
      </font>
      <fill>
        <patternFill>
          <bgColor theme="7"/>
        </patternFill>
      </fill>
    </dxf>
    <dxf>
      <font>
        <color theme="4"/>
      </font>
      <fill>
        <patternFill>
          <bgColor theme="4"/>
        </patternFill>
      </fill>
    </dxf>
    <dxf>
      <font>
        <color theme="9"/>
      </font>
      <numFmt numFmtId="1" formatCode="0"/>
      <fill>
        <patternFill>
          <bgColor theme="9"/>
        </patternFill>
      </fill>
    </dxf>
    <dxf>
      <font>
        <color theme="0"/>
      </font>
    </dxf>
  </dxfs>
  <tableStyles count="0" defaultTableStyle="TableStyleMedium2" defaultPivotStyle="PivotStyleLight16"/>
  <colors>
    <mruColors>
      <color rgb="FFF4F4F6"/>
      <color rgb="FFC6EFCE"/>
      <color rgb="FFFFEB9C"/>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1174332</xdr:colOff>
      <xdr:row>12</xdr:row>
      <xdr:rowOff>142875</xdr:rowOff>
    </xdr:from>
    <xdr:to>
      <xdr:col>5</xdr:col>
      <xdr:colOff>3559591</xdr:colOff>
      <xdr:row>15</xdr:row>
      <xdr:rowOff>132855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089482" y="4476750"/>
          <a:ext cx="2385259" cy="590055"/>
        </a:xfrm>
        <a:prstGeom prst="rect">
          <a:avLst/>
        </a:prstGeom>
        <a:solidFill>
          <a:schemeClr val="bg2"/>
        </a:solid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18</xdr:col>
      <xdr:colOff>316851</xdr:colOff>
      <xdr:row>4</xdr:row>
      <xdr:rowOff>75809</xdr:rowOff>
    </xdr:from>
    <xdr:ext cx="4205781" cy="2368173"/>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668153" y="1329611"/>
          <a:ext cx="4439897" cy="2334596"/>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dhmalawi-my.sharepoint.com/personal/nmedi_cdh-malawi_com/Documents/Desktop/TEMP%20MAINSERVER/ADMIN/Apraisals/2024%20Appraisals/Quarter%201/Nqabile%20Medi%20%20-%202024%20BSC%20___%20Nqabile%20Medi.xlsx" TargetMode="External"/><Relationship Id="rId1" Type="http://schemas.openxmlformats.org/officeDocument/2006/relationships/externalLinkPath" Target="/personal/nmedi_cdh-malawi_com/Documents/Desktop/TEMP%20MAINSERVER/ADMIN/Apraisals/2024%20Appraisals/Quarter%201/Nqabile%20Medi%20%20-%202024%20BSC%20___%20Nqabile%20Med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cking index"/>
      <sheetName val="BSC Nqabile Medi"/>
      <sheetName val="Workings"/>
      <sheetName val="sept"/>
      <sheetName val="dec"/>
    </sheetNames>
    <sheetDataSet>
      <sheetData sheetId="0"/>
      <sheetData sheetId="1">
        <row r="49">
          <cell r="J49">
            <v>0.19450000000000003</v>
          </cell>
        </row>
      </sheetData>
      <sheetData sheetId="2"/>
      <sheetData sheetId="3"/>
      <sheetData sheetId="4"/>
    </sheetDataSet>
  </externalBook>
</externalLink>
</file>

<file path=xl/theme/theme1.xml><?xml version="1.0" encoding="utf-8"?>
<a:theme xmlns:a="http://schemas.openxmlformats.org/drawingml/2006/main" name="Office Theme">
  <a:themeElements>
    <a:clrScheme name="Module">
      <a:dk1>
        <a:sysClr val="windowText" lastClr="000000"/>
      </a:dk1>
      <a:lt1>
        <a:sysClr val="window" lastClr="FFFFFF"/>
      </a:lt1>
      <a:dk2>
        <a:srgbClr val="5A6378"/>
      </a:dk2>
      <a:lt2>
        <a:srgbClr val="D4D4D6"/>
      </a:lt2>
      <a:accent1>
        <a:srgbClr val="F0AD00"/>
      </a:accent1>
      <a:accent2>
        <a:srgbClr val="60B5CC"/>
      </a:accent2>
      <a:accent3>
        <a:srgbClr val="E66C7D"/>
      </a:accent3>
      <a:accent4>
        <a:srgbClr val="6BB76D"/>
      </a:accent4>
      <a:accent5>
        <a:srgbClr val="E88651"/>
      </a:accent5>
      <a:accent6>
        <a:srgbClr val="C64847"/>
      </a:accent6>
      <a:hlink>
        <a:srgbClr val="168BBA"/>
      </a:hlink>
      <a:folHlink>
        <a:srgbClr val="680000"/>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info@fnbusinessconsultants.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9"/>
  <sheetViews>
    <sheetView showGridLines="0" workbookViewId="0">
      <selection sqref="A1:J1048576"/>
    </sheetView>
  </sheetViews>
  <sheetFormatPr defaultColWidth="8.85546875" defaultRowHeight="14.25"/>
  <cols>
    <col min="1" max="1" width="4.7109375" style="1" customWidth="1"/>
    <col min="2" max="2" width="8.42578125" style="1" customWidth="1"/>
    <col min="3" max="3" width="70.7109375" style="1" customWidth="1"/>
    <col min="4" max="4" width="8.42578125" style="1" customWidth="1"/>
    <col min="5" max="5" width="11.42578125" style="1" customWidth="1"/>
    <col min="6" max="6" width="70.7109375" style="1" customWidth="1"/>
    <col min="7" max="7" width="8.42578125" style="1" customWidth="1"/>
    <col min="8" max="8" width="7.7109375" style="1" customWidth="1"/>
    <col min="9" max="9" width="7.140625" style="1" customWidth="1"/>
    <col min="10" max="16384" width="8.85546875" style="1"/>
  </cols>
  <sheetData>
    <row r="1" spans="2:9" ht="15.75" customHeight="1" thickBot="1"/>
    <row r="2" spans="2:9" ht="33.75" customHeight="1">
      <c r="B2" s="291"/>
      <c r="C2" s="289" t="s">
        <v>19</v>
      </c>
      <c r="D2" s="289"/>
      <c r="E2" s="289"/>
      <c r="F2" s="289"/>
      <c r="G2" s="289"/>
      <c r="H2" s="289"/>
      <c r="I2" s="295"/>
    </row>
    <row r="3" spans="2:9" ht="15" thickBot="1">
      <c r="B3" s="292"/>
      <c r="C3" s="290"/>
      <c r="D3" s="290"/>
      <c r="E3" s="290"/>
      <c r="F3" s="290"/>
      <c r="G3" s="290"/>
      <c r="H3" s="290"/>
      <c r="I3" s="296"/>
    </row>
    <row r="4" spans="2:9" ht="15" thickTop="1">
      <c r="B4" s="292"/>
      <c r="C4" s="2"/>
      <c r="D4" s="2"/>
      <c r="E4" s="2"/>
      <c r="F4" s="2"/>
      <c r="G4" s="2"/>
      <c r="H4" s="2"/>
      <c r="I4" s="296"/>
    </row>
    <row r="5" spans="2:9" ht="26.25">
      <c r="B5" s="292"/>
      <c r="C5" s="298" t="s">
        <v>18</v>
      </c>
      <c r="D5" s="298"/>
      <c r="E5" s="298"/>
      <c r="F5" s="298" t="s">
        <v>20</v>
      </c>
      <c r="G5" s="298"/>
      <c r="H5" s="2"/>
      <c r="I5" s="296"/>
    </row>
    <row r="6" spans="2:9" ht="33" customHeight="1">
      <c r="B6" s="292"/>
      <c r="C6" s="4" t="s">
        <v>22</v>
      </c>
      <c r="D6" s="2"/>
      <c r="E6" s="2"/>
      <c r="F6" s="9" t="s">
        <v>30</v>
      </c>
      <c r="G6" s="3"/>
      <c r="H6" s="2"/>
      <c r="I6" s="296"/>
    </row>
    <row r="7" spans="2:9" ht="30">
      <c r="B7" s="292"/>
      <c r="C7" s="4" t="s">
        <v>23</v>
      </c>
      <c r="D7" s="2"/>
      <c r="E7" s="2"/>
      <c r="F7" s="9" t="s">
        <v>31</v>
      </c>
      <c r="G7" s="3"/>
      <c r="H7" s="2"/>
      <c r="I7" s="296"/>
    </row>
    <row r="8" spans="2:9" ht="30">
      <c r="B8" s="292"/>
      <c r="C8" s="4" t="s">
        <v>24</v>
      </c>
      <c r="D8" s="2"/>
      <c r="E8" s="2"/>
      <c r="F8" s="9" t="s">
        <v>32</v>
      </c>
      <c r="G8" s="3"/>
      <c r="H8" s="2"/>
      <c r="I8" s="296"/>
    </row>
    <row r="9" spans="2:9" ht="30">
      <c r="B9" s="292"/>
      <c r="C9" s="4" t="s">
        <v>25</v>
      </c>
      <c r="D9" s="2"/>
      <c r="E9" s="2"/>
      <c r="F9" s="9" t="s">
        <v>33</v>
      </c>
      <c r="G9" s="3"/>
      <c r="H9" s="2"/>
      <c r="I9" s="296"/>
    </row>
    <row r="10" spans="2:9" ht="30">
      <c r="B10" s="292"/>
      <c r="C10" s="4" t="s">
        <v>26</v>
      </c>
      <c r="D10" s="2"/>
      <c r="E10" s="2"/>
      <c r="F10" s="9" t="s">
        <v>34</v>
      </c>
      <c r="G10" s="3"/>
      <c r="H10" s="2"/>
      <c r="I10" s="296"/>
    </row>
    <row r="11" spans="2:9" ht="36.75" customHeight="1">
      <c r="B11" s="292"/>
      <c r="C11" s="4" t="s">
        <v>27</v>
      </c>
      <c r="D11" s="2"/>
      <c r="E11" s="2"/>
      <c r="F11" s="9" t="s">
        <v>21</v>
      </c>
      <c r="G11" s="3"/>
      <c r="H11" s="2"/>
      <c r="I11" s="296"/>
    </row>
    <row r="12" spans="2:9" ht="45.75" thickBot="1">
      <c r="B12" s="292"/>
      <c r="C12" s="4" t="s">
        <v>28</v>
      </c>
      <c r="D12" s="2"/>
      <c r="E12" s="2"/>
      <c r="F12" s="2"/>
      <c r="G12" s="2"/>
      <c r="H12" s="2"/>
      <c r="I12" s="296"/>
    </row>
    <row r="13" spans="2:9" ht="15.75" customHeight="1">
      <c r="B13" s="292"/>
      <c r="C13" s="5" t="s">
        <v>14</v>
      </c>
      <c r="D13" s="2"/>
      <c r="E13" s="2"/>
      <c r="F13" s="10"/>
      <c r="G13" s="2"/>
      <c r="H13" s="2"/>
      <c r="I13" s="296"/>
    </row>
    <row r="14" spans="2:9" ht="15.75" customHeight="1">
      <c r="B14" s="292"/>
      <c r="C14" s="6" t="s">
        <v>17</v>
      </c>
      <c r="D14" s="2"/>
      <c r="E14" s="2"/>
      <c r="F14" s="11"/>
      <c r="G14" s="2"/>
      <c r="H14" s="2"/>
      <c r="I14" s="296"/>
    </row>
    <row r="15" spans="2:9" ht="15.75" customHeight="1">
      <c r="B15" s="292"/>
      <c r="C15" s="7" t="s">
        <v>15</v>
      </c>
      <c r="D15" s="2"/>
      <c r="E15" s="2"/>
      <c r="F15" s="11"/>
      <c r="G15" s="2"/>
      <c r="H15" s="2"/>
      <c r="I15" s="296"/>
    </row>
    <row r="16" spans="2:9" ht="15.75" customHeight="1">
      <c r="B16" s="292"/>
      <c r="C16" s="8" t="s">
        <v>16</v>
      </c>
      <c r="D16" s="2"/>
      <c r="E16" s="2"/>
      <c r="F16" s="11"/>
      <c r="G16" s="2"/>
      <c r="H16" s="2"/>
      <c r="I16" s="296"/>
    </row>
    <row r="17" spans="2:9" ht="30">
      <c r="B17" s="292"/>
      <c r="C17" s="9" t="s">
        <v>29</v>
      </c>
      <c r="D17" s="2"/>
      <c r="E17" s="2"/>
      <c r="F17" s="12" t="s">
        <v>36</v>
      </c>
      <c r="G17" s="2"/>
      <c r="H17" s="2"/>
      <c r="I17" s="296"/>
    </row>
    <row r="18" spans="2:9" ht="25.5" customHeight="1" thickBot="1">
      <c r="B18" s="292"/>
      <c r="C18" s="2"/>
      <c r="D18" s="2"/>
      <c r="E18" s="2"/>
      <c r="F18" s="13" t="s">
        <v>35</v>
      </c>
      <c r="G18" s="2"/>
      <c r="H18" s="2"/>
      <c r="I18" s="296"/>
    </row>
    <row r="19" spans="2:9" ht="25.5" customHeight="1" thickBot="1">
      <c r="B19" s="293"/>
      <c r="C19" s="294"/>
      <c r="D19" s="294"/>
      <c r="E19" s="294"/>
      <c r="F19" s="294"/>
      <c r="G19" s="294"/>
      <c r="H19" s="294"/>
      <c r="I19" s="297"/>
    </row>
  </sheetData>
  <mergeCells count="6">
    <mergeCell ref="C2:H3"/>
    <mergeCell ref="B2:B19"/>
    <mergeCell ref="C19:H19"/>
    <mergeCell ref="I2:I19"/>
    <mergeCell ref="C5:E5"/>
    <mergeCell ref="F5:G5"/>
  </mergeCells>
  <conditionalFormatting sqref="D1">
    <cfRule type="iconSet" priority="2">
      <iconSet>
        <cfvo type="percent" val="0"/>
        <cfvo type="percent" val="33"/>
        <cfvo type="percent" val="67"/>
      </iconSet>
    </cfRule>
  </conditionalFormatting>
  <hyperlinks>
    <hyperlink ref="F18" r:id="rId1" xr:uid="{00000000-0004-0000-0000-000000000000}"/>
  </hyperlinks>
  <pageMargins left="0.7" right="0.7" top="0.75" bottom="0.75" header="0.3" footer="0.3"/>
  <pageSetup orientation="portrait" horizontalDpi="0" verticalDpi="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AI60"/>
  <sheetViews>
    <sheetView showGridLines="0" tabSelected="1" topLeftCell="F44" zoomScale="51" zoomScaleNormal="51" zoomScaleSheetLayoutView="49" workbookViewId="0">
      <selection activeCell="F44" sqref="A1:XFD1048576"/>
    </sheetView>
  </sheetViews>
  <sheetFormatPr defaultColWidth="8.85546875" defaultRowHeight="15"/>
  <cols>
    <col min="1" max="1" width="0.5703125" style="20" customWidth="1"/>
    <col min="2" max="2" width="6.7109375" style="20" customWidth="1"/>
    <col min="3" max="3" width="26" style="20" customWidth="1"/>
    <col min="4" max="4" width="1.42578125" style="21" customWidth="1"/>
    <col min="5" max="5" width="64.28515625" style="20" customWidth="1"/>
    <col min="6" max="6" width="1" style="20" customWidth="1"/>
    <col min="7" max="7" width="16.140625" style="196" customWidth="1"/>
    <col min="8" max="8" width="1.140625" style="21" customWidth="1"/>
    <col min="9" max="9" width="73.140625" style="20" customWidth="1"/>
    <col min="10" max="10" width="1.42578125" style="21" customWidth="1"/>
    <col min="11" max="11" width="18.140625" style="241" customWidth="1"/>
    <col min="12" max="12" width="13" style="96" customWidth="1"/>
    <col min="13" max="13" width="2.42578125" style="20" customWidth="1"/>
    <col min="14" max="14" width="2" style="20" customWidth="1"/>
    <col min="15" max="15" width="13.85546875" style="247" customWidth="1"/>
    <col min="16" max="16" width="12.5703125" style="96" customWidth="1"/>
    <col min="17" max="17" width="2.28515625" style="248" customWidth="1"/>
    <col min="18" max="18" width="0.85546875" style="248" customWidth="1"/>
    <col min="19" max="19" width="14.42578125" style="248" customWidth="1"/>
    <col min="20" max="20" width="11.85546875" style="96" customWidth="1"/>
    <col min="21" max="21" width="2" style="248" customWidth="1"/>
    <col min="22" max="22" width="0.85546875" style="248" customWidth="1"/>
    <col min="23" max="23" width="13" style="249" customWidth="1"/>
    <col min="24" max="24" width="13" style="250" customWidth="1"/>
    <col min="25" max="25" width="2.7109375" style="248" customWidth="1"/>
    <col min="26" max="26" width="0.42578125" style="248" customWidth="1"/>
    <col min="27" max="27" width="16.85546875" style="248" customWidth="1"/>
    <col min="28" max="28" width="13.42578125" style="96" customWidth="1"/>
    <col min="29" max="29" width="3.85546875" style="248" customWidth="1"/>
    <col min="30" max="30" width="15.42578125" style="248" customWidth="1"/>
    <col min="31" max="31" width="0.7109375" style="21" customWidth="1"/>
    <col min="32" max="32" width="60.42578125" style="20" customWidth="1"/>
    <col min="33" max="33" width="0.85546875" style="20" customWidth="1"/>
    <col min="34" max="34" width="37.7109375" style="20" customWidth="1"/>
    <col min="35" max="35" width="7.5703125" style="20" customWidth="1"/>
    <col min="36" max="16384" width="8.85546875" style="20"/>
  </cols>
  <sheetData>
    <row r="1" spans="2:35" ht="15.75" thickBot="1"/>
    <row r="2" spans="2:35" ht="12.75" customHeight="1" thickBot="1">
      <c r="B2" s="306"/>
      <c r="C2" s="22"/>
      <c r="D2" s="22"/>
      <c r="E2" s="22"/>
      <c r="F2" s="22"/>
      <c r="G2" s="197"/>
      <c r="H2" s="22"/>
      <c r="I2" s="22"/>
      <c r="J2" s="22"/>
      <c r="K2" s="242"/>
      <c r="L2" s="237"/>
      <c r="M2" s="22"/>
      <c r="N2" s="22"/>
      <c r="O2" s="251"/>
      <c r="P2" s="237"/>
      <c r="Q2" s="252"/>
      <c r="R2" s="252"/>
      <c r="S2" s="252"/>
      <c r="T2" s="237"/>
      <c r="U2" s="252"/>
      <c r="V2" s="252"/>
      <c r="W2" s="253"/>
      <c r="X2" s="254"/>
      <c r="Y2" s="252"/>
      <c r="Z2" s="252"/>
      <c r="AA2" s="252"/>
      <c r="AB2" s="237"/>
      <c r="AC2" s="252"/>
      <c r="AD2" s="252"/>
      <c r="AE2" s="22"/>
      <c r="AF2" s="22"/>
      <c r="AG2" s="23"/>
      <c r="AH2" s="22"/>
      <c r="AI2" s="24"/>
    </row>
    <row r="3" spans="2:35" ht="40.5" customHeight="1" thickBot="1">
      <c r="B3" s="307"/>
      <c r="C3" s="311" t="s">
        <v>49</v>
      </c>
      <c r="D3" s="312"/>
      <c r="E3" s="312"/>
      <c r="F3" s="312"/>
      <c r="G3" s="312"/>
      <c r="H3" s="312"/>
      <c r="I3" s="312"/>
      <c r="J3" s="312"/>
      <c r="K3" s="312"/>
      <c r="L3" s="312"/>
      <c r="M3" s="312"/>
      <c r="N3" s="312"/>
      <c r="O3" s="312"/>
      <c r="P3" s="312"/>
      <c r="Q3" s="312"/>
      <c r="R3" s="312"/>
      <c r="S3" s="312"/>
      <c r="T3" s="312"/>
      <c r="U3" s="312"/>
      <c r="V3" s="312"/>
      <c r="W3" s="312"/>
      <c r="X3" s="312"/>
      <c r="Y3" s="312"/>
      <c r="Z3" s="312"/>
      <c r="AA3" s="312"/>
      <c r="AB3" s="312"/>
      <c r="AC3" s="312"/>
      <c r="AD3" s="312"/>
      <c r="AE3" s="312"/>
      <c r="AF3" s="312"/>
      <c r="AG3" s="312"/>
      <c r="AH3" s="313"/>
      <c r="AI3" s="15"/>
    </row>
    <row r="4" spans="2:35" ht="31.5" customHeight="1">
      <c r="B4" s="307"/>
      <c r="C4" s="14"/>
      <c r="D4" s="14"/>
      <c r="E4" s="14"/>
      <c r="F4" s="14"/>
      <c r="G4" s="198"/>
      <c r="H4" s="14"/>
      <c r="I4" s="14"/>
      <c r="J4" s="14"/>
      <c r="K4" s="243"/>
      <c r="L4" s="238"/>
      <c r="M4" s="14"/>
      <c r="N4" s="14"/>
      <c r="O4" s="255"/>
      <c r="P4" s="238"/>
      <c r="Q4" s="256"/>
      <c r="R4" s="256"/>
      <c r="S4" s="256"/>
      <c r="T4" s="238"/>
      <c r="U4" s="256"/>
      <c r="V4" s="256"/>
      <c r="W4" s="257"/>
      <c r="X4" s="258"/>
      <c r="Y4" s="256"/>
      <c r="Z4" s="256"/>
      <c r="AA4" s="256"/>
      <c r="AB4" s="238"/>
      <c r="AC4" s="256"/>
      <c r="AD4" s="256"/>
      <c r="AE4" s="14"/>
      <c r="AF4" s="14"/>
      <c r="AG4" s="14"/>
      <c r="AH4" s="14"/>
      <c r="AI4" s="15"/>
    </row>
    <row r="5" spans="2:35" ht="25.5" customHeight="1">
      <c r="B5" s="307"/>
      <c r="C5" s="25" t="s">
        <v>41</v>
      </c>
      <c r="D5" s="14"/>
      <c r="E5" s="315" t="s">
        <v>48</v>
      </c>
      <c r="F5" s="316"/>
      <c r="G5" s="316"/>
      <c r="H5" s="316"/>
      <c r="I5" s="316"/>
      <c r="J5" s="316"/>
      <c r="K5" s="316"/>
      <c r="L5" s="316"/>
      <c r="M5" s="316"/>
      <c r="N5" s="316"/>
      <c r="O5" s="316"/>
      <c r="P5" s="316"/>
      <c r="Q5" s="317"/>
      <c r="R5" s="256"/>
      <c r="S5" s="256"/>
      <c r="T5" s="238"/>
      <c r="U5" s="256"/>
      <c r="V5" s="256"/>
      <c r="W5" s="257"/>
      <c r="X5" s="258"/>
      <c r="Y5" s="256"/>
      <c r="Z5" s="256"/>
      <c r="AA5" s="256"/>
      <c r="AB5" s="238"/>
      <c r="AC5" s="256"/>
      <c r="AD5" s="256"/>
      <c r="AE5" s="14"/>
      <c r="AF5" s="14"/>
      <c r="AG5" s="14"/>
      <c r="AH5" s="14"/>
      <c r="AI5" s="15"/>
    </row>
    <row r="6" spans="2:35" ht="25.5" customHeight="1">
      <c r="B6" s="307"/>
      <c r="C6" s="25" t="s">
        <v>42</v>
      </c>
      <c r="D6" s="14"/>
      <c r="E6" s="315" t="s">
        <v>60</v>
      </c>
      <c r="F6" s="316"/>
      <c r="G6" s="316"/>
      <c r="H6" s="316"/>
      <c r="I6" s="316"/>
      <c r="J6" s="316"/>
      <c r="K6" s="316"/>
      <c r="L6" s="316"/>
      <c r="M6" s="316"/>
      <c r="N6" s="316"/>
      <c r="O6" s="316"/>
      <c r="P6" s="316"/>
      <c r="Q6" s="317"/>
      <c r="R6" s="256"/>
      <c r="S6" s="256"/>
      <c r="T6" s="238"/>
      <c r="U6" s="256"/>
      <c r="V6" s="256"/>
      <c r="W6" s="257"/>
      <c r="X6" s="258"/>
      <c r="Y6" s="256"/>
      <c r="Z6" s="256"/>
      <c r="AA6" s="256"/>
      <c r="AB6" s="238"/>
      <c r="AC6" s="256"/>
      <c r="AD6" s="256"/>
      <c r="AE6" s="14"/>
      <c r="AF6" s="14"/>
      <c r="AG6" s="14"/>
      <c r="AH6" s="14"/>
      <c r="AI6" s="15"/>
    </row>
    <row r="7" spans="2:35" ht="27.75" customHeight="1">
      <c r="B7" s="307"/>
      <c r="C7" s="25" t="s">
        <v>43</v>
      </c>
      <c r="D7" s="14"/>
      <c r="E7" s="315" t="s">
        <v>61</v>
      </c>
      <c r="F7" s="316"/>
      <c r="G7" s="316"/>
      <c r="H7" s="316"/>
      <c r="I7" s="316"/>
      <c r="J7" s="316"/>
      <c r="K7" s="316"/>
      <c r="L7" s="316"/>
      <c r="M7" s="316"/>
      <c r="N7" s="316"/>
      <c r="O7" s="316"/>
      <c r="P7" s="316"/>
      <c r="Q7" s="317"/>
      <c r="R7" s="256"/>
      <c r="S7" s="256"/>
      <c r="T7" s="238"/>
      <c r="U7" s="256"/>
      <c r="V7" s="256"/>
      <c r="W7" s="257"/>
      <c r="X7" s="258"/>
      <c r="Y7" s="256"/>
      <c r="Z7" s="256"/>
      <c r="AA7" s="256"/>
      <c r="AB7" s="238"/>
      <c r="AC7" s="256"/>
      <c r="AD7" s="256"/>
      <c r="AE7" s="14"/>
      <c r="AF7" s="26"/>
      <c r="AG7" s="14"/>
      <c r="AH7" s="14"/>
      <c r="AI7" s="15"/>
    </row>
    <row r="8" spans="2:35" ht="27" customHeight="1">
      <c r="B8" s="307"/>
      <c r="C8" s="25" t="s">
        <v>44</v>
      </c>
      <c r="D8" s="14"/>
      <c r="E8" s="315" t="s">
        <v>139</v>
      </c>
      <c r="F8" s="316"/>
      <c r="G8" s="316"/>
      <c r="H8" s="316"/>
      <c r="I8" s="316"/>
      <c r="J8" s="316"/>
      <c r="K8" s="316"/>
      <c r="L8" s="316"/>
      <c r="M8" s="316"/>
      <c r="N8" s="316"/>
      <c r="O8" s="316"/>
      <c r="P8" s="316"/>
      <c r="Q8" s="317"/>
      <c r="R8" s="256"/>
      <c r="S8" s="256"/>
      <c r="T8" s="238"/>
      <c r="U8" s="256"/>
      <c r="V8" s="256"/>
      <c r="W8" s="257"/>
      <c r="X8" s="258"/>
      <c r="Y8" s="256"/>
      <c r="Z8" s="256"/>
      <c r="AA8" s="256"/>
      <c r="AB8" s="238"/>
      <c r="AC8" s="256"/>
      <c r="AD8" s="256"/>
      <c r="AE8" s="14"/>
      <c r="AF8" s="14"/>
      <c r="AG8" s="14"/>
      <c r="AH8" s="14"/>
      <c r="AI8" s="15"/>
    </row>
    <row r="9" spans="2:35" ht="27" customHeight="1">
      <c r="B9" s="307"/>
      <c r="C9" s="25" t="s">
        <v>47</v>
      </c>
      <c r="D9" s="14"/>
      <c r="E9" s="315" t="s">
        <v>103</v>
      </c>
      <c r="F9" s="316"/>
      <c r="G9" s="316"/>
      <c r="H9" s="316"/>
      <c r="I9" s="316"/>
      <c r="J9" s="316"/>
      <c r="K9" s="316"/>
      <c r="L9" s="316"/>
      <c r="M9" s="316"/>
      <c r="N9" s="316"/>
      <c r="O9" s="316"/>
      <c r="P9" s="316"/>
      <c r="Q9" s="317"/>
      <c r="R9" s="256"/>
      <c r="S9" s="256"/>
      <c r="T9" s="238"/>
      <c r="U9" s="256"/>
      <c r="V9" s="256"/>
      <c r="W9" s="257"/>
      <c r="X9" s="258"/>
      <c r="Y9" s="256"/>
      <c r="Z9" s="256"/>
      <c r="AA9" s="256"/>
      <c r="AB9" s="238"/>
      <c r="AC9" s="256"/>
      <c r="AD9" s="256"/>
      <c r="AE9" s="14"/>
      <c r="AF9" s="14"/>
      <c r="AG9" s="14"/>
      <c r="AH9" s="14"/>
      <c r="AI9" s="15"/>
    </row>
    <row r="10" spans="2:35" ht="28.5" customHeight="1">
      <c r="B10" s="307"/>
      <c r="C10" s="25" t="s">
        <v>45</v>
      </c>
      <c r="D10" s="14"/>
      <c r="E10" s="315" t="s">
        <v>62</v>
      </c>
      <c r="F10" s="316"/>
      <c r="G10" s="316"/>
      <c r="H10" s="316"/>
      <c r="I10" s="316"/>
      <c r="J10" s="316"/>
      <c r="K10" s="316"/>
      <c r="L10" s="316"/>
      <c r="M10" s="316"/>
      <c r="N10" s="316"/>
      <c r="O10" s="316"/>
      <c r="P10" s="316"/>
      <c r="Q10" s="317"/>
      <c r="R10" s="256"/>
      <c r="S10" s="256"/>
      <c r="T10" s="238"/>
      <c r="U10" s="256"/>
      <c r="V10" s="256"/>
      <c r="W10" s="257"/>
      <c r="X10" s="258"/>
      <c r="Y10" s="256"/>
      <c r="Z10" s="256"/>
      <c r="AA10" s="256"/>
      <c r="AB10" s="238"/>
      <c r="AC10" s="256"/>
      <c r="AD10" s="256"/>
      <c r="AE10" s="14"/>
      <c r="AF10" s="16"/>
      <c r="AG10" s="14"/>
      <c r="AH10" s="14"/>
      <c r="AI10" s="15"/>
    </row>
    <row r="11" spans="2:35" ht="28.5" customHeight="1">
      <c r="B11" s="307"/>
      <c r="C11" s="25" t="s">
        <v>46</v>
      </c>
      <c r="D11" s="14"/>
      <c r="E11" s="315" t="s">
        <v>102</v>
      </c>
      <c r="F11" s="316"/>
      <c r="G11" s="316"/>
      <c r="H11" s="316"/>
      <c r="I11" s="316"/>
      <c r="J11" s="316"/>
      <c r="K11" s="316"/>
      <c r="L11" s="316"/>
      <c r="M11" s="316"/>
      <c r="N11" s="316"/>
      <c r="O11" s="316"/>
      <c r="P11" s="316"/>
      <c r="Q11" s="317"/>
      <c r="R11" s="256"/>
      <c r="S11" s="256"/>
      <c r="T11" s="238"/>
      <c r="U11" s="256"/>
      <c r="V11" s="256"/>
      <c r="W11" s="257"/>
      <c r="X11" s="258"/>
      <c r="Y11" s="256"/>
      <c r="Z11" s="256"/>
      <c r="AA11" s="256"/>
      <c r="AB11" s="238"/>
      <c r="AC11" s="256"/>
      <c r="AD11" s="256"/>
      <c r="AE11" s="14"/>
      <c r="AF11" s="16"/>
      <c r="AG11" s="14"/>
      <c r="AH11" s="14"/>
      <c r="AI11" s="15"/>
    </row>
    <row r="12" spans="2:35" ht="24" customHeight="1">
      <c r="B12" s="307"/>
      <c r="C12" s="14"/>
      <c r="D12" s="14"/>
      <c r="E12" s="14"/>
      <c r="F12" s="14"/>
      <c r="G12" s="198"/>
      <c r="H12" s="14"/>
      <c r="I12" s="14"/>
      <c r="J12" s="14"/>
      <c r="K12" s="243"/>
      <c r="L12" s="238"/>
      <c r="M12" s="14"/>
      <c r="N12" s="14"/>
      <c r="O12" s="255"/>
      <c r="P12" s="238"/>
      <c r="Q12" s="256"/>
      <c r="R12" s="256"/>
      <c r="S12" s="256"/>
      <c r="T12" s="238"/>
      <c r="U12" s="256"/>
      <c r="V12" s="256"/>
      <c r="W12" s="257"/>
      <c r="X12" s="258"/>
      <c r="Y12" s="256"/>
      <c r="Z12" s="256"/>
      <c r="AA12" s="256"/>
      <c r="AB12" s="238"/>
      <c r="AC12" s="256"/>
      <c r="AD12" s="256"/>
      <c r="AE12" s="14"/>
      <c r="AF12" s="14"/>
      <c r="AG12" s="14"/>
      <c r="AH12" s="14"/>
      <c r="AI12" s="15"/>
    </row>
    <row r="13" spans="2:35" ht="27.75" customHeight="1">
      <c r="B13" s="307"/>
      <c r="C13" s="27"/>
      <c r="D13" s="27"/>
      <c r="E13" s="27"/>
      <c r="F13" s="27"/>
      <c r="G13" s="27"/>
      <c r="H13" s="27"/>
      <c r="I13" s="27"/>
      <c r="J13" s="27"/>
      <c r="K13" s="318" t="s">
        <v>40</v>
      </c>
      <c r="L13" s="319"/>
      <c r="M13" s="319"/>
      <c r="N13" s="319"/>
      <c r="O13" s="319"/>
      <c r="P13" s="319"/>
      <c r="Q13" s="319"/>
      <c r="R13" s="319"/>
      <c r="S13" s="319"/>
      <c r="T13" s="319"/>
      <c r="U13" s="319"/>
      <c r="V13" s="319"/>
      <c r="W13" s="319"/>
      <c r="X13" s="319"/>
      <c r="Y13" s="320"/>
      <c r="Z13" s="259"/>
      <c r="AA13" s="259"/>
      <c r="AB13" s="239"/>
      <c r="AC13" s="259"/>
      <c r="AD13" s="259"/>
      <c r="AE13" s="27"/>
      <c r="AF13" s="27"/>
      <c r="AG13" s="28"/>
      <c r="AH13" s="27"/>
      <c r="AI13" s="15"/>
    </row>
    <row r="14" spans="2:35" s="32" customFormat="1" ht="20.100000000000001" customHeight="1">
      <c r="B14" s="307"/>
      <c r="C14" s="299" t="s">
        <v>0</v>
      </c>
      <c r="D14" s="29"/>
      <c r="E14" s="299" t="s">
        <v>1</v>
      </c>
      <c r="F14" s="30"/>
      <c r="G14" s="304" t="s">
        <v>37</v>
      </c>
      <c r="H14" s="29"/>
      <c r="I14" s="304" t="s">
        <v>39</v>
      </c>
      <c r="J14" s="29"/>
      <c r="K14" s="309" t="s">
        <v>2</v>
      </c>
      <c r="L14" s="309"/>
      <c r="M14" s="309"/>
      <c r="N14" s="29"/>
      <c r="O14" s="305" t="s">
        <v>3</v>
      </c>
      <c r="P14" s="305"/>
      <c r="Q14" s="305"/>
      <c r="R14" s="260"/>
      <c r="S14" s="305" t="s">
        <v>4</v>
      </c>
      <c r="T14" s="305"/>
      <c r="U14" s="305"/>
      <c r="V14" s="260"/>
      <c r="W14" s="305" t="s">
        <v>5</v>
      </c>
      <c r="X14" s="305"/>
      <c r="Y14" s="305"/>
      <c r="Z14" s="260"/>
      <c r="AA14" s="314" t="s">
        <v>12</v>
      </c>
      <c r="AB14" s="314"/>
      <c r="AC14" s="314"/>
      <c r="AD14" s="314"/>
      <c r="AE14" s="29"/>
      <c r="AF14" s="299" t="s">
        <v>7</v>
      </c>
      <c r="AG14" s="28"/>
      <c r="AH14" s="299" t="s">
        <v>38</v>
      </c>
      <c r="AI14" s="15"/>
    </row>
    <row r="15" spans="2:35" s="32" customFormat="1" ht="39" customHeight="1">
      <c r="B15" s="307"/>
      <c r="C15" s="299"/>
      <c r="D15" s="29"/>
      <c r="E15" s="299"/>
      <c r="F15" s="30"/>
      <c r="G15" s="304"/>
      <c r="H15" s="29"/>
      <c r="I15" s="304"/>
      <c r="J15" s="29"/>
      <c r="K15" s="244" t="s">
        <v>9</v>
      </c>
      <c r="L15" s="240" t="s">
        <v>50</v>
      </c>
      <c r="M15" s="31" t="s">
        <v>10</v>
      </c>
      <c r="N15" s="29"/>
      <c r="O15" s="262" t="s">
        <v>9</v>
      </c>
      <c r="P15" s="240" t="s">
        <v>50</v>
      </c>
      <c r="Q15" s="261" t="s">
        <v>10</v>
      </c>
      <c r="R15" s="260"/>
      <c r="S15" s="261" t="s">
        <v>9</v>
      </c>
      <c r="T15" s="240" t="s">
        <v>50</v>
      </c>
      <c r="U15" s="261" t="s">
        <v>10</v>
      </c>
      <c r="V15" s="260"/>
      <c r="W15" s="263" t="s">
        <v>9</v>
      </c>
      <c r="X15" s="258" t="s">
        <v>50</v>
      </c>
      <c r="Y15" s="261" t="s">
        <v>10</v>
      </c>
      <c r="Z15" s="260"/>
      <c r="AA15" s="261" t="s">
        <v>11</v>
      </c>
      <c r="AB15" s="240" t="s">
        <v>52</v>
      </c>
      <c r="AC15" s="261" t="s">
        <v>10</v>
      </c>
      <c r="AD15" s="261" t="s">
        <v>6</v>
      </c>
      <c r="AE15" s="29"/>
      <c r="AF15" s="299"/>
      <c r="AG15" s="28"/>
      <c r="AH15" s="299"/>
      <c r="AI15" s="15"/>
    </row>
    <row r="16" spans="2:35" ht="8.25" customHeight="1" thickBot="1">
      <c r="B16" s="307"/>
      <c r="C16" s="33"/>
      <c r="D16" s="34"/>
      <c r="E16" s="33"/>
      <c r="F16" s="35"/>
      <c r="G16" s="33"/>
      <c r="H16" s="34"/>
      <c r="I16" s="33"/>
      <c r="J16" s="34"/>
      <c r="K16" s="245"/>
      <c r="L16" s="240"/>
      <c r="M16" s="34"/>
      <c r="N16" s="34"/>
      <c r="O16" s="264"/>
      <c r="P16" s="240"/>
      <c r="Q16" s="265"/>
      <c r="R16" s="265"/>
      <c r="S16" s="265"/>
      <c r="T16" s="240"/>
      <c r="U16" s="265"/>
      <c r="V16" s="265"/>
      <c r="W16" s="257"/>
      <c r="X16" s="258"/>
      <c r="Y16" s="265"/>
      <c r="Z16" s="265"/>
      <c r="AA16" s="265"/>
      <c r="AB16" s="240"/>
      <c r="AC16" s="265"/>
      <c r="AD16" s="265"/>
      <c r="AE16" s="34"/>
      <c r="AF16" s="34"/>
      <c r="AG16" s="28"/>
      <c r="AI16" s="15"/>
    </row>
    <row r="17" spans="2:35" s="47" customFormat="1" ht="33" customHeight="1">
      <c r="B17" s="307"/>
      <c r="C17" s="310" t="s">
        <v>8</v>
      </c>
      <c r="D17" s="36"/>
      <c r="E17" s="39"/>
      <c r="F17" s="37"/>
      <c r="G17" s="69">
        <f>G18+G19+G20+G21+G22+G23+G24</f>
        <v>0.3</v>
      </c>
      <c r="H17" s="38"/>
      <c r="I17" s="39"/>
      <c r="J17" s="38"/>
      <c r="K17" s="153">
        <f>SUM(K18:K24)</f>
        <v>3.6760000000000001E-2</v>
      </c>
      <c r="L17" s="328">
        <f>SUM(L18:L24)</f>
        <v>0.05</v>
      </c>
      <c r="M17" s="40"/>
      <c r="N17" s="41">
        <f>SUM(N18:N24)</f>
        <v>0</v>
      </c>
      <c r="O17" s="153">
        <f>SUM(O18:O24)</f>
        <v>0</v>
      </c>
      <c r="P17" s="328">
        <f>SUM(P18:P24)</f>
        <v>0.05</v>
      </c>
      <c r="Q17" s="40"/>
      <c r="R17" s="41">
        <f>SUM(R18:R24)</f>
        <v>0</v>
      </c>
      <c r="S17" s="40">
        <f>SUM(S18:S24)</f>
        <v>0</v>
      </c>
      <c r="T17" s="328">
        <f>SUM(T18:T24)</f>
        <v>0.05</v>
      </c>
      <c r="U17" s="40"/>
      <c r="V17" s="41">
        <f>SUM(V18:V24)</f>
        <v>0</v>
      </c>
      <c r="W17" s="40">
        <f>SUM(W18:W24)</f>
        <v>0</v>
      </c>
      <c r="X17" s="328">
        <f>SUM(X18:X24)</f>
        <v>0.15000000000000002</v>
      </c>
      <c r="Y17" s="40"/>
      <c r="Z17" s="41">
        <f>SUM(Z18:Z24)</f>
        <v>0</v>
      </c>
      <c r="AA17" s="40">
        <f>SUM(AA18:AA24)</f>
        <v>3.6760000000000001E-2</v>
      </c>
      <c r="AB17" s="328">
        <f>SUM(AB18:AB24)</f>
        <v>0.3</v>
      </c>
      <c r="AC17" s="40"/>
      <c r="AD17" s="266">
        <f>SUM(AD18:AD24)</f>
        <v>0.3</v>
      </c>
      <c r="AE17" s="42"/>
      <c r="AF17" s="43"/>
      <c r="AG17" s="44"/>
      <c r="AH17" s="45"/>
      <c r="AI17" s="46"/>
    </row>
    <row r="18" spans="2:35" s="196" customFormat="1" ht="49.5" customHeight="1">
      <c r="B18" s="307"/>
      <c r="C18" s="299"/>
      <c r="D18" s="49"/>
      <c r="E18" s="202" t="s">
        <v>108</v>
      </c>
      <c r="F18" s="50"/>
      <c r="G18" s="199">
        <v>3.5000000000000003E-2</v>
      </c>
      <c r="H18" s="203"/>
      <c r="I18" s="204" t="s">
        <v>104</v>
      </c>
      <c r="J18" s="51"/>
      <c r="K18" s="97">
        <v>0</v>
      </c>
      <c r="L18" s="279">
        <v>8.7500000000000008E-3</v>
      </c>
      <c r="M18" s="177" t="s">
        <v>15</v>
      </c>
      <c r="N18" s="178"/>
      <c r="O18" s="52">
        <v>0</v>
      </c>
      <c r="P18" s="279">
        <v>8.7500000000000008E-3</v>
      </c>
      <c r="Q18" s="267" t="s">
        <v>16</v>
      </c>
      <c r="R18" s="268"/>
      <c r="S18" s="52">
        <v>0</v>
      </c>
      <c r="T18" s="279">
        <v>8.7500000000000008E-3</v>
      </c>
      <c r="U18" s="267" t="s">
        <v>16</v>
      </c>
      <c r="V18" s="268"/>
      <c r="W18" s="52">
        <v>0</v>
      </c>
      <c r="X18" s="279">
        <v>8.7500000000000008E-3</v>
      </c>
      <c r="Y18" s="267"/>
      <c r="Z18" s="268"/>
      <c r="AA18" s="52">
        <f t="shared" ref="AA18:AA22" si="0">SUM(K18,O18,S18,W18)</f>
        <v>0</v>
      </c>
      <c r="AB18" s="53">
        <f t="shared" ref="AB18:AB24" si="1">L18+P18+T18+X18</f>
        <v>3.5000000000000003E-2</v>
      </c>
      <c r="AC18" s="267"/>
      <c r="AD18" s="52">
        <f t="shared" ref="AD18:AD24" si="2">G18</f>
        <v>3.5000000000000003E-2</v>
      </c>
      <c r="AE18" s="178"/>
      <c r="AF18" s="90" t="s">
        <v>111</v>
      </c>
      <c r="AG18" s="205"/>
      <c r="AH18" s="17"/>
      <c r="AI18" s="206"/>
    </row>
    <row r="19" spans="2:35" s="196" customFormat="1" ht="45.75" customHeight="1">
      <c r="B19" s="307"/>
      <c r="C19" s="299"/>
      <c r="D19" s="49"/>
      <c r="E19" s="212"/>
      <c r="F19" s="50"/>
      <c r="G19" s="199">
        <v>3.5000000000000003E-2</v>
      </c>
      <c r="H19" s="203"/>
      <c r="I19" s="204" t="s">
        <v>105</v>
      </c>
      <c r="J19" s="51"/>
      <c r="K19" s="288">
        <v>8.7500000000000008E-3</v>
      </c>
      <c r="L19" s="279">
        <v>8.7500000000000008E-3</v>
      </c>
      <c r="M19" s="177" t="s">
        <v>14</v>
      </c>
      <c r="N19" s="178"/>
      <c r="O19" s="52">
        <v>0</v>
      </c>
      <c r="P19" s="279">
        <v>8.7500000000000008E-3</v>
      </c>
      <c r="Q19" s="267" t="s">
        <v>16</v>
      </c>
      <c r="R19" s="268"/>
      <c r="S19" s="52">
        <v>0</v>
      </c>
      <c r="T19" s="279">
        <v>8.7500000000000008E-3</v>
      </c>
      <c r="U19" s="267" t="s">
        <v>16</v>
      </c>
      <c r="V19" s="268"/>
      <c r="W19" s="52">
        <v>0</v>
      </c>
      <c r="X19" s="279">
        <v>8.7500000000000008E-3</v>
      </c>
      <c r="Y19" s="267"/>
      <c r="Z19" s="268"/>
      <c r="AA19" s="52">
        <f t="shared" si="0"/>
        <v>8.7500000000000008E-3</v>
      </c>
      <c r="AB19" s="53">
        <f t="shared" si="1"/>
        <v>3.5000000000000003E-2</v>
      </c>
      <c r="AC19" s="267"/>
      <c r="AD19" s="52">
        <f t="shared" si="2"/>
        <v>3.5000000000000003E-2</v>
      </c>
      <c r="AE19" s="178"/>
      <c r="AF19" s="90" t="s">
        <v>111</v>
      </c>
      <c r="AG19" s="205"/>
      <c r="AH19" s="17"/>
      <c r="AI19" s="206"/>
    </row>
    <row r="20" spans="2:35" s="196" customFormat="1" ht="36.75" customHeight="1">
      <c r="B20" s="307"/>
      <c r="C20" s="299"/>
      <c r="D20" s="49"/>
      <c r="E20" s="211"/>
      <c r="F20" s="50"/>
      <c r="G20" s="199">
        <v>3.5000000000000003E-2</v>
      </c>
      <c r="H20" s="203"/>
      <c r="I20" s="204" t="s">
        <v>106</v>
      </c>
      <c r="J20" s="51"/>
      <c r="K20" s="288">
        <v>7.26E-3</v>
      </c>
      <c r="L20" s="279">
        <v>8.7500000000000008E-3</v>
      </c>
      <c r="M20" s="177" t="s">
        <v>17</v>
      </c>
      <c r="N20" s="178"/>
      <c r="O20" s="52">
        <v>0</v>
      </c>
      <c r="P20" s="279">
        <v>8.7500000000000008E-3</v>
      </c>
      <c r="Q20" s="267" t="s">
        <v>16</v>
      </c>
      <c r="R20" s="268"/>
      <c r="S20" s="52">
        <v>0</v>
      </c>
      <c r="T20" s="279">
        <v>8.7500000000000008E-3</v>
      </c>
      <c r="U20" s="267" t="s">
        <v>16</v>
      </c>
      <c r="V20" s="268"/>
      <c r="W20" s="52">
        <v>0</v>
      </c>
      <c r="X20" s="279">
        <v>8.7500000000000008E-3</v>
      </c>
      <c r="Y20" s="267"/>
      <c r="Z20" s="268"/>
      <c r="AA20" s="52">
        <f t="shared" si="0"/>
        <v>7.26E-3</v>
      </c>
      <c r="AB20" s="53">
        <f t="shared" si="1"/>
        <v>3.5000000000000003E-2</v>
      </c>
      <c r="AC20" s="267"/>
      <c r="AD20" s="52">
        <f t="shared" si="2"/>
        <v>3.5000000000000003E-2</v>
      </c>
      <c r="AE20" s="178"/>
      <c r="AF20" s="90" t="s">
        <v>111</v>
      </c>
      <c r="AG20" s="205"/>
      <c r="AH20" s="17"/>
      <c r="AI20" s="206"/>
    </row>
    <row r="21" spans="2:35" s="196" customFormat="1" ht="44.25" customHeight="1">
      <c r="B21" s="307"/>
      <c r="C21" s="299"/>
      <c r="D21" s="49"/>
      <c r="E21" s="211"/>
      <c r="F21" s="50"/>
      <c r="G21" s="199">
        <v>3.5000000000000003E-2</v>
      </c>
      <c r="H21" s="203"/>
      <c r="I21" s="204" t="s">
        <v>107</v>
      </c>
      <c r="J21" s="51"/>
      <c r="K21" s="288">
        <v>8.7500000000000008E-3</v>
      </c>
      <c r="L21" s="279">
        <v>8.7500000000000008E-3</v>
      </c>
      <c r="M21" s="177" t="s">
        <v>14</v>
      </c>
      <c r="N21" s="178"/>
      <c r="O21" s="52">
        <v>0</v>
      </c>
      <c r="P21" s="279">
        <v>8.7500000000000008E-3</v>
      </c>
      <c r="Q21" s="267" t="s">
        <v>16</v>
      </c>
      <c r="R21" s="268"/>
      <c r="S21" s="52">
        <v>0</v>
      </c>
      <c r="T21" s="279">
        <v>8.7500000000000008E-3</v>
      </c>
      <c r="U21" s="267" t="s">
        <v>16</v>
      </c>
      <c r="V21" s="268"/>
      <c r="W21" s="52">
        <v>0</v>
      </c>
      <c r="X21" s="279">
        <v>8.7500000000000008E-3</v>
      </c>
      <c r="Y21" s="267"/>
      <c r="Z21" s="268"/>
      <c r="AA21" s="52">
        <f t="shared" si="0"/>
        <v>8.7500000000000008E-3</v>
      </c>
      <c r="AB21" s="53">
        <f t="shared" si="1"/>
        <v>3.5000000000000003E-2</v>
      </c>
      <c r="AC21" s="267"/>
      <c r="AD21" s="52">
        <f t="shared" si="2"/>
        <v>3.5000000000000003E-2</v>
      </c>
      <c r="AE21" s="178"/>
      <c r="AF21" s="90" t="s">
        <v>111</v>
      </c>
      <c r="AG21" s="210"/>
      <c r="AH21" s="17"/>
      <c r="AI21" s="206"/>
    </row>
    <row r="22" spans="2:35" s="196" customFormat="1" ht="44.25" customHeight="1">
      <c r="B22" s="307"/>
      <c r="C22" s="299"/>
      <c r="D22" s="49"/>
      <c r="E22" s="211"/>
      <c r="F22" s="50"/>
      <c r="G22" s="199">
        <v>0.06</v>
      </c>
      <c r="H22" s="203"/>
      <c r="I22" s="204" t="s">
        <v>141</v>
      </c>
      <c r="J22" s="51"/>
      <c r="K22" s="97">
        <v>1.2E-2</v>
      </c>
      <c r="L22" s="53">
        <v>1.4999999999999999E-2</v>
      </c>
      <c r="M22" s="177" t="s">
        <v>17</v>
      </c>
      <c r="N22" s="178"/>
      <c r="O22" s="52">
        <v>0</v>
      </c>
      <c r="P22" s="53">
        <v>1.4999999999999999E-2</v>
      </c>
      <c r="Q22" s="267" t="s">
        <v>16</v>
      </c>
      <c r="R22" s="268"/>
      <c r="S22" s="52">
        <v>0</v>
      </c>
      <c r="T22" s="53">
        <v>1.4999999999999999E-2</v>
      </c>
      <c r="U22" s="267" t="s">
        <v>16</v>
      </c>
      <c r="V22" s="268"/>
      <c r="W22" s="52">
        <v>0</v>
      </c>
      <c r="X22" s="53">
        <v>1.4999999999999999E-2</v>
      </c>
      <c r="Y22" s="267"/>
      <c r="Z22" s="268"/>
      <c r="AA22" s="52">
        <f t="shared" si="0"/>
        <v>1.2E-2</v>
      </c>
      <c r="AB22" s="53">
        <f t="shared" si="1"/>
        <v>0.06</v>
      </c>
      <c r="AC22" s="267"/>
      <c r="AD22" s="52">
        <f t="shared" si="2"/>
        <v>0.06</v>
      </c>
      <c r="AE22" s="178"/>
      <c r="AF22" s="90" t="s">
        <v>111</v>
      </c>
      <c r="AG22" s="210"/>
      <c r="AH22" s="17"/>
      <c r="AI22" s="206"/>
    </row>
    <row r="23" spans="2:35" s="196" customFormat="1" ht="44.25" customHeight="1">
      <c r="B23" s="307"/>
      <c r="C23" s="299"/>
      <c r="D23" s="49"/>
      <c r="E23" s="211"/>
      <c r="F23" s="50"/>
      <c r="G23" s="199">
        <v>0.05</v>
      </c>
      <c r="H23" s="203"/>
      <c r="I23" s="329" t="s">
        <v>122</v>
      </c>
      <c r="J23" s="51"/>
      <c r="K23" s="97">
        <v>0</v>
      </c>
      <c r="L23" s="53">
        <v>0</v>
      </c>
      <c r="M23" s="177" t="s">
        <v>16</v>
      </c>
      <c r="N23" s="178"/>
      <c r="O23" s="52">
        <v>0</v>
      </c>
      <c r="P23" s="53">
        <v>0</v>
      </c>
      <c r="Q23" s="267" t="s">
        <v>16</v>
      </c>
      <c r="R23" s="268"/>
      <c r="S23" s="52">
        <v>0</v>
      </c>
      <c r="T23" s="53">
        <v>0</v>
      </c>
      <c r="U23" s="267" t="s">
        <v>16</v>
      </c>
      <c r="V23" s="268"/>
      <c r="W23" s="52">
        <v>0</v>
      </c>
      <c r="X23" s="53">
        <v>0.05</v>
      </c>
      <c r="Y23" s="267"/>
      <c r="Z23" s="268"/>
      <c r="AA23" s="52">
        <f t="shared" ref="AA23" si="3">SUM(K23,O23,S23,W23)</f>
        <v>0</v>
      </c>
      <c r="AB23" s="53">
        <f t="shared" si="1"/>
        <v>0.05</v>
      </c>
      <c r="AC23" s="267"/>
      <c r="AD23" s="52">
        <f t="shared" si="2"/>
        <v>0.05</v>
      </c>
      <c r="AE23" s="178"/>
      <c r="AF23" s="90" t="s">
        <v>111</v>
      </c>
      <c r="AG23" s="210"/>
      <c r="AH23" s="17"/>
      <c r="AI23" s="206"/>
    </row>
    <row r="24" spans="2:35" s="196" customFormat="1" ht="33.75" customHeight="1">
      <c r="B24" s="307"/>
      <c r="C24" s="299"/>
      <c r="D24" s="49"/>
      <c r="E24" s="207" t="s">
        <v>120</v>
      </c>
      <c r="F24" s="208"/>
      <c r="G24" s="199">
        <v>0.05</v>
      </c>
      <c r="H24" s="203"/>
      <c r="I24" s="209" t="s">
        <v>115</v>
      </c>
      <c r="J24" s="51"/>
      <c r="K24" s="97">
        <v>0</v>
      </c>
      <c r="L24" s="53">
        <v>0</v>
      </c>
      <c r="M24" s="177" t="s">
        <v>16</v>
      </c>
      <c r="N24" s="178"/>
      <c r="O24" s="52">
        <v>0</v>
      </c>
      <c r="P24" s="53">
        <v>0</v>
      </c>
      <c r="Q24" s="267" t="s">
        <v>16</v>
      </c>
      <c r="R24" s="268"/>
      <c r="S24" s="52">
        <v>0</v>
      </c>
      <c r="T24" s="53">
        <v>0</v>
      </c>
      <c r="U24" s="267" t="s">
        <v>16</v>
      </c>
      <c r="V24" s="268"/>
      <c r="W24" s="52">
        <v>0</v>
      </c>
      <c r="X24" s="53">
        <v>0.05</v>
      </c>
      <c r="Y24" s="267"/>
      <c r="Z24" s="268"/>
      <c r="AA24" s="52">
        <f t="shared" ref="AA24" si="4">SUM(K24,O24,S24,W24)</f>
        <v>0</v>
      </c>
      <c r="AB24" s="53">
        <f t="shared" si="1"/>
        <v>0.05</v>
      </c>
      <c r="AC24" s="267"/>
      <c r="AD24" s="52">
        <f t="shared" si="2"/>
        <v>0.05</v>
      </c>
      <c r="AE24" s="178"/>
      <c r="AF24" s="90" t="s">
        <v>127</v>
      </c>
      <c r="AG24" s="210"/>
      <c r="AH24" s="17"/>
      <c r="AI24" s="206"/>
    </row>
    <row r="25" spans="2:35" s="21" customFormat="1" ht="8.25" customHeight="1">
      <c r="B25" s="307"/>
      <c r="C25" s="49"/>
      <c r="D25" s="49"/>
      <c r="E25" s="59"/>
      <c r="F25" s="60"/>
      <c r="G25" s="61"/>
      <c r="H25" s="59"/>
      <c r="I25" s="62"/>
      <c r="J25" s="62"/>
      <c r="K25" s="154"/>
      <c r="L25" s="58"/>
      <c r="M25" s="64"/>
      <c r="N25" s="63"/>
      <c r="O25" s="65"/>
      <c r="P25" s="58"/>
      <c r="Q25" s="63"/>
      <c r="R25" s="63"/>
      <c r="S25" s="63"/>
      <c r="T25" s="58"/>
      <c r="U25" s="63"/>
      <c r="V25" s="63"/>
      <c r="W25" s="65"/>
      <c r="X25" s="48"/>
      <c r="Y25" s="63"/>
      <c r="Z25" s="63"/>
      <c r="AA25" s="63"/>
      <c r="AB25" s="58"/>
      <c r="AC25" s="63"/>
      <c r="AD25" s="63"/>
      <c r="AE25" s="63"/>
      <c r="AF25" s="66"/>
      <c r="AG25" s="28"/>
      <c r="AI25" s="15"/>
    </row>
    <row r="26" spans="2:35" ht="26.25" customHeight="1">
      <c r="B26" s="307"/>
      <c r="C26" s="300" t="s">
        <v>53</v>
      </c>
      <c r="D26" s="49"/>
      <c r="E26" s="71"/>
      <c r="F26" s="68"/>
      <c r="G26" s="69">
        <f>SUM(G27:G32)</f>
        <v>0.15</v>
      </c>
      <c r="H26" s="70"/>
      <c r="I26" s="71"/>
      <c r="J26" s="72"/>
      <c r="K26" s="153">
        <f>SUM(K27:K33)</f>
        <v>0</v>
      </c>
      <c r="L26" s="328">
        <f>SUM(L27:L33)</f>
        <v>0</v>
      </c>
      <c r="M26" s="73"/>
      <c r="N26" s="74">
        <f>SUM(N27:N37)</f>
        <v>0</v>
      </c>
      <c r="O26" s="153">
        <f>SUM(O27:O33)</f>
        <v>0</v>
      </c>
      <c r="P26" s="328">
        <f>SUM(P27:P33)</f>
        <v>2.5000000000000001E-2</v>
      </c>
      <c r="Q26" s="73"/>
      <c r="R26" s="73">
        <f>SUM(R27:R41)</f>
        <v>0</v>
      </c>
      <c r="S26" s="153">
        <f>SUM(S27:S33)</f>
        <v>0</v>
      </c>
      <c r="T26" s="328">
        <f>SUM(T27:T33)</f>
        <v>0.05</v>
      </c>
      <c r="U26" s="73"/>
      <c r="V26" s="74">
        <f>SUM(V27:V37)</f>
        <v>0</v>
      </c>
      <c r="W26" s="153">
        <f>SUM(W27:W33)</f>
        <v>0</v>
      </c>
      <c r="X26" s="328">
        <f>SUM(X27:X33)</f>
        <v>7.5000000000000011E-2</v>
      </c>
      <c r="Y26" s="73"/>
      <c r="Z26" s="74">
        <f>SUM(Z27:Z37)</f>
        <v>0</v>
      </c>
      <c r="AA26" s="153">
        <f>SUM(AA27:AA33)</f>
        <v>0</v>
      </c>
      <c r="AB26" s="328">
        <f>SUM(AB27:AB33)</f>
        <v>0.15</v>
      </c>
      <c r="AC26" s="73"/>
      <c r="AD26" s="153">
        <f>SUM(AD27:AD33)</f>
        <v>0.15</v>
      </c>
      <c r="AE26" s="75"/>
      <c r="AF26" s="76"/>
      <c r="AG26" s="21"/>
      <c r="AH26" s="77"/>
      <c r="AI26" s="15"/>
    </row>
    <row r="27" spans="2:35" s="181" customFormat="1" ht="45" customHeight="1">
      <c r="B27" s="307"/>
      <c r="C27" s="301"/>
      <c r="D27" s="78"/>
      <c r="E27" s="302" t="s">
        <v>121</v>
      </c>
      <c r="F27" s="50"/>
      <c r="G27" s="175">
        <v>2.5000000000000001E-2</v>
      </c>
      <c r="H27" s="176"/>
      <c r="I27" s="330" t="s">
        <v>125</v>
      </c>
      <c r="J27" s="51"/>
      <c r="K27" s="97">
        <v>0</v>
      </c>
      <c r="L27" s="53">
        <v>0</v>
      </c>
      <c r="M27" s="177" t="s">
        <v>16</v>
      </c>
      <c r="N27" s="178"/>
      <c r="O27" s="52">
        <v>0</v>
      </c>
      <c r="P27" s="53">
        <v>0</v>
      </c>
      <c r="Q27" s="267" t="s">
        <v>16</v>
      </c>
      <c r="R27" s="268"/>
      <c r="S27" s="52">
        <v>0</v>
      </c>
      <c r="T27" s="53">
        <v>2.5000000000000001E-2</v>
      </c>
      <c r="U27" s="267" t="s">
        <v>16</v>
      </c>
      <c r="V27" s="268"/>
      <c r="W27" s="52">
        <v>0</v>
      </c>
      <c r="X27" s="53">
        <v>0</v>
      </c>
      <c r="Y27" s="267" t="s">
        <v>16</v>
      </c>
      <c r="Z27" s="268"/>
      <c r="AA27" s="52">
        <f t="shared" ref="AA27:AB32" si="5">SUM(K27,O27,S27,W27)</f>
        <v>0</v>
      </c>
      <c r="AB27" s="53">
        <f t="shared" si="5"/>
        <v>2.5000000000000001E-2</v>
      </c>
      <c r="AC27" s="267" t="s">
        <v>16</v>
      </c>
      <c r="AD27" s="52">
        <f>G$27/1</f>
        <v>2.5000000000000001E-2</v>
      </c>
      <c r="AE27" s="178"/>
      <c r="AF27" s="90" t="s">
        <v>67</v>
      </c>
      <c r="AG27" s="179"/>
      <c r="AH27" s="17"/>
      <c r="AI27" s="180"/>
    </row>
    <row r="28" spans="2:35" s="181" customFormat="1" ht="41.25" customHeight="1">
      <c r="B28" s="307"/>
      <c r="C28" s="301"/>
      <c r="D28" s="78"/>
      <c r="E28" s="303"/>
      <c r="F28" s="50"/>
      <c r="G28" s="175">
        <v>2.5000000000000001E-2</v>
      </c>
      <c r="H28" s="176"/>
      <c r="I28" s="330" t="s">
        <v>124</v>
      </c>
      <c r="J28" s="51"/>
      <c r="K28" s="97">
        <v>0</v>
      </c>
      <c r="L28" s="53">
        <v>0</v>
      </c>
      <c r="M28" s="177"/>
      <c r="N28" s="178"/>
      <c r="O28" s="52">
        <v>0</v>
      </c>
      <c r="P28" s="53">
        <v>0</v>
      </c>
      <c r="Q28" s="267"/>
      <c r="R28" s="268"/>
      <c r="S28" s="52">
        <v>0</v>
      </c>
      <c r="T28" s="53">
        <v>2.5000000000000001E-2</v>
      </c>
      <c r="U28" s="267"/>
      <c r="V28" s="268"/>
      <c r="W28" s="52">
        <v>0</v>
      </c>
      <c r="X28" s="53">
        <v>0</v>
      </c>
      <c r="Y28" s="267"/>
      <c r="Z28" s="268"/>
      <c r="AA28" s="52">
        <f t="shared" si="5"/>
        <v>0</v>
      </c>
      <c r="AB28" s="53">
        <f t="shared" si="5"/>
        <v>2.5000000000000001E-2</v>
      </c>
      <c r="AC28" s="267"/>
      <c r="AD28" s="52">
        <f>G$27/1</f>
        <v>2.5000000000000001E-2</v>
      </c>
      <c r="AE28" s="178"/>
      <c r="AF28" s="90" t="s">
        <v>67</v>
      </c>
      <c r="AG28" s="179"/>
      <c r="AH28" s="17"/>
      <c r="AI28" s="180"/>
    </row>
    <row r="29" spans="2:35" s="193" customFormat="1" ht="41.25" customHeight="1">
      <c r="B29" s="307"/>
      <c r="C29" s="301"/>
      <c r="D29" s="78"/>
      <c r="E29" s="188"/>
      <c r="F29" s="50"/>
      <c r="G29" s="175">
        <v>2.5000000000000001E-2</v>
      </c>
      <c r="H29" s="176"/>
      <c r="I29" s="330" t="s">
        <v>123</v>
      </c>
      <c r="J29" s="51"/>
      <c r="K29" s="97">
        <v>0</v>
      </c>
      <c r="L29" s="53">
        <v>0</v>
      </c>
      <c r="M29" s="177"/>
      <c r="N29" s="178"/>
      <c r="O29" s="52">
        <v>0</v>
      </c>
      <c r="P29" s="53">
        <v>2.5000000000000001E-2</v>
      </c>
      <c r="Q29" s="267"/>
      <c r="R29" s="268"/>
      <c r="S29" s="52">
        <v>0</v>
      </c>
      <c r="T29" s="53">
        <v>0</v>
      </c>
      <c r="U29" s="267"/>
      <c r="V29" s="268"/>
      <c r="W29" s="52">
        <v>0</v>
      </c>
      <c r="X29" s="53">
        <v>0</v>
      </c>
      <c r="Y29" s="267"/>
      <c r="Z29" s="268"/>
      <c r="AA29" s="52">
        <f t="shared" si="5"/>
        <v>0</v>
      </c>
      <c r="AB29" s="53">
        <f t="shared" si="5"/>
        <v>2.5000000000000001E-2</v>
      </c>
      <c r="AC29" s="269"/>
      <c r="AD29" s="52">
        <f>G$27/1</f>
        <v>2.5000000000000001E-2</v>
      </c>
      <c r="AE29" s="189"/>
      <c r="AF29" s="90" t="s">
        <v>67</v>
      </c>
      <c r="AG29" s="190"/>
      <c r="AH29" s="191"/>
      <c r="AI29" s="192"/>
    </row>
    <row r="30" spans="2:35" s="181" customFormat="1" ht="49.5" customHeight="1">
      <c r="B30" s="307"/>
      <c r="C30" s="301"/>
      <c r="D30" s="78"/>
      <c r="E30" s="188"/>
      <c r="F30" s="50"/>
      <c r="G30" s="175">
        <v>2.5000000000000001E-2</v>
      </c>
      <c r="H30" s="176"/>
      <c r="I30" s="330" t="s">
        <v>109</v>
      </c>
      <c r="J30" s="51"/>
      <c r="K30" s="97">
        <v>0</v>
      </c>
      <c r="L30" s="53">
        <v>0</v>
      </c>
      <c r="M30" s="177" t="s">
        <v>16</v>
      </c>
      <c r="N30" s="178"/>
      <c r="O30" s="52">
        <v>0</v>
      </c>
      <c r="P30" s="53">
        <v>0</v>
      </c>
      <c r="Q30" s="267" t="s">
        <v>16</v>
      </c>
      <c r="R30" s="268"/>
      <c r="S30" s="52">
        <v>0</v>
      </c>
      <c r="T30" s="53">
        <v>0</v>
      </c>
      <c r="U30" s="267" t="s">
        <v>16</v>
      </c>
      <c r="V30" s="268"/>
      <c r="W30" s="52">
        <v>0</v>
      </c>
      <c r="X30" s="53">
        <v>2.5000000000000001E-2</v>
      </c>
      <c r="Y30" s="267"/>
      <c r="Z30" s="268"/>
      <c r="AA30" s="52">
        <v>0</v>
      </c>
      <c r="AB30" s="53">
        <f t="shared" si="5"/>
        <v>2.5000000000000001E-2</v>
      </c>
      <c r="AC30" s="267"/>
      <c r="AD30" s="52">
        <f>G$27/1</f>
        <v>2.5000000000000001E-2</v>
      </c>
      <c r="AE30" s="178"/>
      <c r="AF30" s="90" t="s">
        <v>68</v>
      </c>
      <c r="AG30" s="179"/>
      <c r="AH30" s="194"/>
      <c r="AI30" s="180"/>
    </row>
    <row r="31" spans="2:35" s="181" customFormat="1" ht="40.5" customHeight="1">
      <c r="B31" s="307"/>
      <c r="C31" s="301"/>
      <c r="D31" s="78"/>
      <c r="E31" s="188"/>
      <c r="F31" s="50"/>
      <c r="G31" s="175">
        <v>2.5000000000000001E-2</v>
      </c>
      <c r="H31" s="62"/>
      <c r="I31" s="331" t="s">
        <v>110</v>
      </c>
      <c r="J31" s="51"/>
      <c r="K31" s="97">
        <v>0</v>
      </c>
      <c r="L31" s="53">
        <v>0</v>
      </c>
      <c r="M31" s="177"/>
      <c r="N31" s="178"/>
      <c r="O31" s="52">
        <v>0</v>
      </c>
      <c r="P31" s="53">
        <v>0</v>
      </c>
      <c r="Q31" s="267"/>
      <c r="R31" s="268"/>
      <c r="S31" s="52">
        <v>0</v>
      </c>
      <c r="T31" s="53">
        <v>0</v>
      </c>
      <c r="U31" s="267"/>
      <c r="V31" s="268"/>
      <c r="W31" s="52">
        <v>0</v>
      </c>
      <c r="X31" s="53">
        <v>2.5000000000000001E-2</v>
      </c>
      <c r="Y31" s="267"/>
      <c r="Z31" s="268"/>
      <c r="AA31" s="52">
        <f>SUM(K31,O31,S31,W31)</f>
        <v>0</v>
      </c>
      <c r="AB31" s="53">
        <f t="shared" si="5"/>
        <v>2.5000000000000001E-2</v>
      </c>
      <c r="AC31" s="267"/>
      <c r="AD31" s="52">
        <f>G31</f>
        <v>2.5000000000000001E-2</v>
      </c>
      <c r="AE31" s="178"/>
      <c r="AF31" s="90" t="s">
        <v>117</v>
      </c>
      <c r="AG31" s="179"/>
      <c r="AH31" s="195"/>
      <c r="AI31" s="180"/>
    </row>
    <row r="32" spans="2:35" s="181" customFormat="1" ht="41.25" customHeight="1">
      <c r="B32" s="307"/>
      <c r="C32" s="301"/>
      <c r="D32" s="78"/>
      <c r="E32" s="188"/>
      <c r="F32" s="50"/>
      <c r="G32" s="175">
        <v>2.5000000000000001E-2</v>
      </c>
      <c r="H32" s="62"/>
      <c r="I32" s="331" t="s">
        <v>126</v>
      </c>
      <c r="J32" s="51"/>
      <c r="K32" s="97">
        <v>0</v>
      </c>
      <c r="L32" s="53">
        <v>0</v>
      </c>
      <c r="M32" s="177"/>
      <c r="N32" s="178"/>
      <c r="O32" s="52">
        <v>0</v>
      </c>
      <c r="P32" s="53">
        <v>0</v>
      </c>
      <c r="Q32" s="267"/>
      <c r="R32" s="268"/>
      <c r="S32" s="52">
        <v>0</v>
      </c>
      <c r="T32" s="53">
        <v>0</v>
      </c>
      <c r="U32" s="267"/>
      <c r="V32" s="268"/>
      <c r="W32" s="52">
        <v>0</v>
      </c>
      <c r="X32" s="53">
        <v>2.5000000000000001E-2</v>
      </c>
      <c r="Y32" s="267"/>
      <c r="Z32" s="268"/>
      <c r="AA32" s="52">
        <f>SUM(K32,O32,S32,W32)</f>
        <v>0</v>
      </c>
      <c r="AB32" s="53">
        <f t="shared" si="5"/>
        <v>2.5000000000000001E-2</v>
      </c>
      <c r="AC32" s="267"/>
      <c r="AD32" s="52">
        <f>G32</f>
        <v>2.5000000000000001E-2</v>
      </c>
      <c r="AE32" s="178"/>
      <c r="AF32" s="90" t="s">
        <v>117</v>
      </c>
      <c r="AG32" s="179"/>
      <c r="AH32" s="195"/>
      <c r="AI32" s="180"/>
    </row>
    <row r="33" spans="2:35" s="82" customFormat="1" ht="15.75">
      <c r="B33" s="307"/>
      <c r="C33" s="301"/>
      <c r="D33" s="78"/>
      <c r="E33" s="79"/>
      <c r="F33" s="50"/>
      <c r="G33" s="56"/>
      <c r="H33" s="57"/>
      <c r="I33" s="18"/>
      <c r="J33" s="51"/>
      <c r="K33" s="97"/>
      <c r="L33" s="53"/>
      <c r="M33" s="54"/>
      <c r="N33" s="55"/>
      <c r="O33" s="52"/>
      <c r="P33" s="53"/>
      <c r="Q33" s="270"/>
      <c r="R33" s="65"/>
      <c r="S33" s="52"/>
      <c r="T33" s="53"/>
      <c r="U33" s="270"/>
      <c r="V33" s="65"/>
      <c r="W33" s="52"/>
      <c r="X33" s="48"/>
      <c r="Y33" s="270"/>
      <c r="Z33" s="65"/>
      <c r="AA33" s="52"/>
      <c r="AB33" s="53"/>
      <c r="AC33" s="270"/>
      <c r="AD33" s="52"/>
      <c r="AE33" s="55"/>
      <c r="AF33" s="18"/>
      <c r="AG33" s="80"/>
      <c r="AH33" s="17"/>
      <c r="AI33" s="81"/>
    </row>
    <row r="34" spans="2:35" s="82" customFormat="1" ht="27.75" customHeight="1">
      <c r="B34" s="307"/>
      <c r="C34" s="71"/>
      <c r="D34" s="83"/>
      <c r="E34" s="71"/>
      <c r="F34" s="84"/>
      <c r="G34" s="200">
        <f>G36+G37+G38+G39+G40+G41</f>
        <v>0.25</v>
      </c>
      <c r="H34" s="70"/>
      <c r="I34" s="71"/>
      <c r="J34" s="72"/>
      <c r="K34" s="153">
        <f>SUM(K35:K41)</f>
        <v>4.2500000000000003E-2</v>
      </c>
      <c r="L34" s="328">
        <f>SUM(L35:L41)</f>
        <v>4.2500000000000003E-2</v>
      </c>
      <c r="M34" s="73"/>
      <c r="N34" s="74">
        <f>SUM(N35:N39)</f>
        <v>0</v>
      </c>
      <c r="O34" s="153">
        <f>SUM(O35:O41)</f>
        <v>0</v>
      </c>
      <c r="P34" s="328">
        <f>SUM(P35:P41)</f>
        <v>4.2500000000000003E-2</v>
      </c>
      <c r="Q34" s="73"/>
      <c r="R34" s="73">
        <f>SUM(R35:R49)</f>
        <v>0</v>
      </c>
      <c r="S34" s="153">
        <f>SUM(S35:S41)</f>
        <v>0</v>
      </c>
      <c r="T34" s="328">
        <f>SUM(T35:T41)</f>
        <v>6.25E-2</v>
      </c>
      <c r="U34" s="73"/>
      <c r="V34" s="74">
        <f>SUM(V35:V39)</f>
        <v>0</v>
      </c>
      <c r="W34" s="153">
        <f>SUM(W35:W41)</f>
        <v>0</v>
      </c>
      <c r="X34" s="328">
        <f>SUM(X35:X41)</f>
        <v>0.10249999999999998</v>
      </c>
      <c r="Y34" s="73"/>
      <c r="Z34" s="74">
        <f>SUM(Z35:Z39)</f>
        <v>0</v>
      </c>
      <c r="AA34" s="153">
        <f>SUM(AA35:AA41)</f>
        <v>4.2500000000000003E-2</v>
      </c>
      <c r="AB34" s="328">
        <f>SUM(AB35:AB41)</f>
        <v>0.25</v>
      </c>
      <c r="AC34" s="73"/>
      <c r="AD34" s="153">
        <f>SUM(AD35:AD41)</f>
        <v>0.25</v>
      </c>
      <c r="AE34" s="85"/>
      <c r="AF34" s="76"/>
      <c r="AG34" s="21"/>
      <c r="AH34" s="77"/>
      <c r="AI34" s="86"/>
    </row>
    <row r="35" spans="2:35" s="82" customFormat="1" ht="21" customHeight="1">
      <c r="B35" s="307"/>
      <c r="C35" s="67"/>
      <c r="D35" s="78"/>
      <c r="E35" s="79"/>
      <c r="F35" s="50"/>
      <c r="G35" s="56"/>
      <c r="H35" s="57"/>
      <c r="I35" s="19"/>
      <c r="J35" s="51"/>
      <c r="K35" s="97"/>
      <c r="L35" s="53"/>
      <c r="M35" s="54"/>
      <c r="N35" s="55"/>
      <c r="O35" s="97"/>
      <c r="P35" s="98"/>
      <c r="Q35" s="270"/>
      <c r="R35" s="65"/>
      <c r="S35" s="52"/>
      <c r="T35" s="53"/>
      <c r="U35" s="270"/>
      <c r="V35" s="65"/>
      <c r="W35" s="52"/>
      <c r="X35" s="48"/>
      <c r="Y35" s="270"/>
      <c r="Z35" s="65"/>
      <c r="AA35" s="52"/>
      <c r="AB35" s="53"/>
      <c r="AC35" s="270"/>
      <c r="AD35" s="52"/>
      <c r="AE35" s="55"/>
      <c r="AF35" s="18"/>
      <c r="AG35" s="80"/>
      <c r="AH35" s="17"/>
      <c r="AI35" s="81"/>
    </row>
    <row r="36" spans="2:35" s="196" customFormat="1" ht="66.75" customHeight="1">
      <c r="B36" s="307"/>
      <c r="C36" s="304" t="s">
        <v>54</v>
      </c>
      <c r="D36" s="59"/>
      <c r="E36" s="191"/>
      <c r="F36" s="50"/>
      <c r="G36" s="199">
        <v>0.04</v>
      </c>
      <c r="H36" s="213"/>
      <c r="I36" s="214" t="s">
        <v>118</v>
      </c>
      <c r="J36" s="51"/>
      <c r="K36" s="151">
        <v>0.01</v>
      </c>
      <c r="L36" s="53">
        <v>0.01</v>
      </c>
      <c r="M36" s="177" t="s">
        <v>14</v>
      </c>
      <c r="N36" s="178"/>
      <c r="O36" s="97">
        <v>0</v>
      </c>
      <c r="P36" s="98">
        <v>0.01</v>
      </c>
      <c r="Q36" s="267" t="s">
        <v>16</v>
      </c>
      <c r="R36" s="268"/>
      <c r="S36" s="52">
        <v>0</v>
      </c>
      <c r="T36" s="98">
        <v>0.01</v>
      </c>
      <c r="U36" s="267" t="s">
        <v>16</v>
      </c>
      <c r="V36" s="268"/>
      <c r="W36" s="52">
        <v>0</v>
      </c>
      <c r="X36" s="53">
        <v>0.01</v>
      </c>
      <c r="Y36" s="267"/>
      <c r="Z36" s="268"/>
      <c r="AA36" s="52">
        <f t="shared" ref="AA36:AB39" si="6">SUM(K36,O36,S36,W36)</f>
        <v>0.01</v>
      </c>
      <c r="AB36" s="53">
        <f t="shared" si="6"/>
        <v>0.04</v>
      </c>
      <c r="AC36" s="267"/>
      <c r="AD36" s="52">
        <f t="shared" ref="AD36:AD41" si="7">G36/1</f>
        <v>0.04</v>
      </c>
      <c r="AE36" s="178"/>
      <c r="AF36" s="90" t="s">
        <v>128</v>
      </c>
      <c r="AG36" s="205"/>
      <c r="AH36" s="17"/>
      <c r="AI36" s="215"/>
    </row>
    <row r="37" spans="2:35" s="196" customFormat="1" ht="55.5" customHeight="1">
      <c r="B37" s="307"/>
      <c r="C37" s="304"/>
      <c r="D37" s="49"/>
      <c r="E37" s="233" t="s">
        <v>116</v>
      </c>
      <c r="F37" s="60"/>
      <c r="G37" s="199">
        <v>0.06</v>
      </c>
      <c r="H37" s="213"/>
      <c r="I37" s="214" t="s">
        <v>112</v>
      </c>
      <c r="J37" s="51"/>
      <c r="K37" s="151">
        <v>0</v>
      </c>
      <c r="L37" s="53">
        <v>0</v>
      </c>
      <c r="M37" s="177" t="s">
        <v>16</v>
      </c>
      <c r="N37" s="216"/>
      <c r="O37" s="151">
        <v>0</v>
      </c>
      <c r="P37" s="98">
        <v>0</v>
      </c>
      <c r="Q37" s="267" t="s">
        <v>16</v>
      </c>
      <c r="R37" s="268"/>
      <c r="S37" s="52">
        <v>0</v>
      </c>
      <c r="T37" s="98">
        <v>0</v>
      </c>
      <c r="U37" s="267" t="s">
        <v>16</v>
      </c>
      <c r="V37" s="268"/>
      <c r="W37" s="52">
        <v>0</v>
      </c>
      <c r="X37" s="53">
        <v>0.06</v>
      </c>
      <c r="Y37" s="267" t="s">
        <v>16</v>
      </c>
      <c r="Z37" s="268"/>
      <c r="AA37" s="52">
        <f t="shared" si="6"/>
        <v>0</v>
      </c>
      <c r="AB37" s="53">
        <f t="shared" si="6"/>
        <v>0.06</v>
      </c>
      <c r="AC37" s="267" t="s">
        <v>16</v>
      </c>
      <c r="AD37" s="52">
        <f t="shared" si="7"/>
        <v>0.06</v>
      </c>
      <c r="AE37" s="216"/>
      <c r="AF37" s="90" t="s">
        <v>72</v>
      </c>
      <c r="AG37" s="205"/>
      <c r="AH37" s="204"/>
      <c r="AI37" s="215"/>
    </row>
    <row r="38" spans="2:35" s="152" customFormat="1" ht="50.25" customHeight="1">
      <c r="B38" s="307"/>
      <c r="C38" s="304"/>
      <c r="D38" s="33"/>
      <c r="E38" s="234"/>
      <c r="F38" s="217"/>
      <c r="G38" s="199">
        <v>0.05</v>
      </c>
      <c r="H38" s="183"/>
      <c r="I38" s="89" t="s">
        <v>70</v>
      </c>
      <c r="J38" s="184"/>
      <c r="K38" s="151">
        <v>1.2500000000000001E-2</v>
      </c>
      <c r="L38" s="235">
        <v>1.2500000000000001E-2</v>
      </c>
      <c r="M38" s="185" t="s">
        <v>14</v>
      </c>
      <c r="N38" s="218"/>
      <c r="O38" s="151">
        <v>0</v>
      </c>
      <c r="P38" s="98">
        <v>1.2500000000000001E-2</v>
      </c>
      <c r="Q38" s="271" t="s">
        <v>16</v>
      </c>
      <c r="R38" s="272"/>
      <c r="S38" s="97">
        <v>0</v>
      </c>
      <c r="T38" s="98">
        <v>1.2500000000000001E-2</v>
      </c>
      <c r="U38" s="271" t="s">
        <v>16</v>
      </c>
      <c r="V38" s="272"/>
      <c r="W38" s="97">
        <v>0</v>
      </c>
      <c r="X38" s="235">
        <v>1.2500000000000001E-2</v>
      </c>
      <c r="Y38" s="271"/>
      <c r="Z38" s="272"/>
      <c r="AA38" s="97">
        <f t="shared" si="6"/>
        <v>1.2500000000000001E-2</v>
      </c>
      <c r="AB38" s="53">
        <f t="shared" si="6"/>
        <v>0.05</v>
      </c>
      <c r="AC38" s="271"/>
      <c r="AD38" s="52">
        <f t="shared" si="7"/>
        <v>0.05</v>
      </c>
      <c r="AE38" s="218"/>
      <c r="AF38" s="89" t="s">
        <v>73</v>
      </c>
      <c r="AG38" s="219"/>
      <c r="AH38" s="220"/>
      <c r="AI38" s="221"/>
    </row>
    <row r="39" spans="2:35" s="196" customFormat="1" ht="96.75" customHeight="1">
      <c r="B39" s="307"/>
      <c r="C39" s="304"/>
      <c r="D39" s="49"/>
      <c r="E39" s="191"/>
      <c r="F39" s="50"/>
      <c r="G39" s="199">
        <v>0.05</v>
      </c>
      <c r="H39" s="213"/>
      <c r="I39" s="90" t="s">
        <v>71</v>
      </c>
      <c r="J39" s="51"/>
      <c r="K39" s="151">
        <v>1.2500000000000001E-2</v>
      </c>
      <c r="L39" s="235">
        <v>1.2500000000000001E-2</v>
      </c>
      <c r="M39" s="185" t="s">
        <v>14</v>
      </c>
      <c r="N39" s="218"/>
      <c r="O39" s="151">
        <v>0</v>
      </c>
      <c r="P39" s="98">
        <v>1.2500000000000001E-2</v>
      </c>
      <c r="Q39" s="271" t="s">
        <v>16</v>
      </c>
      <c r="R39" s="272"/>
      <c r="S39" s="97">
        <v>0</v>
      </c>
      <c r="T39" s="98">
        <v>1.2500000000000001E-2</v>
      </c>
      <c r="U39" s="271" t="s">
        <v>16</v>
      </c>
      <c r="V39" s="272"/>
      <c r="W39" s="97">
        <v>0</v>
      </c>
      <c r="X39" s="235">
        <v>1.2500000000000001E-2</v>
      </c>
      <c r="Y39" s="267" t="s">
        <v>16</v>
      </c>
      <c r="Z39" s="268"/>
      <c r="AA39" s="52">
        <f t="shared" si="6"/>
        <v>1.2500000000000001E-2</v>
      </c>
      <c r="AB39" s="53">
        <f t="shared" si="6"/>
        <v>0.05</v>
      </c>
      <c r="AC39" s="267" t="s">
        <v>16</v>
      </c>
      <c r="AD39" s="52">
        <f t="shared" si="7"/>
        <v>0.05</v>
      </c>
      <c r="AE39" s="178"/>
      <c r="AF39" s="90" t="s">
        <v>74</v>
      </c>
      <c r="AG39" s="210"/>
      <c r="AH39" s="17"/>
      <c r="AI39" s="215"/>
    </row>
    <row r="40" spans="2:35" s="196" customFormat="1" ht="45" customHeight="1">
      <c r="B40" s="307"/>
      <c r="C40" s="280"/>
      <c r="D40" s="49"/>
      <c r="E40" s="191"/>
      <c r="F40" s="50"/>
      <c r="G40" s="199">
        <v>0.03</v>
      </c>
      <c r="H40" s="203"/>
      <c r="I40" s="332" t="s">
        <v>140</v>
      </c>
      <c r="J40" s="51"/>
      <c r="K40" s="282">
        <v>7.4999999999999997E-3</v>
      </c>
      <c r="L40" s="283">
        <v>7.4999999999999997E-3</v>
      </c>
      <c r="M40" s="177" t="s">
        <v>14</v>
      </c>
      <c r="N40" s="178"/>
      <c r="O40" s="151">
        <v>0</v>
      </c>
      <c r="P40" s="283">
        <v>7.4999999999999997E-3</v>
      </c>
      <c r="Q40" s="267" t="s">
        <v>16</v>
      </c>
      <c r="R40" s="268"/>
      <c r="S40" s="52">
        <v>0</v>
      </c>
      <c r="T40" s="283">
        <v>7.4999999999999997E-3</v>
      </c>
      <c r="U40" s="267" t="s">
        <v>16</v>
      </c>
      <c r="V40" s="268"/>
      <c r="W40" s="52">
        <v>0</v>
      </c>
      <c r="X40" s="283">
        <v>7.4999999999999997E-3</v>
      </c>
      <c r="Y40" s="267" t="s">
        <v>16</v>
      </c>
      <c r="Z40" s="268"/>
      <c r="AA40" s="52">
        <f t="shared" ref="AA40" si="8">SUM(K40,O40,S40,W40)</f>
        <v>7.4999999999999997E-3</v>
      </c>
      <c r="AB40" s="53">
        <f t="shared" ref="AB40" si="9">SUM(L40,P40,T40,X40)</f>
        <v>0.03</v>
      </c>
      <c r="AC40" s="267"/>
      <c r="AD40" s="52">
        <f t="shared" si="7"/>
        <v>0.03</v>
      </c>
      <c r="AE40" s="178"/>
      <c r="AF40" s="90" t="s">
        <v>135</v>
      </c>
      <c r="AG40" s="210"/>
      <c r="AH40" s="17"/>
      <c r="AI40" s="215"/>
    </row>
    <row r="41" spans="2:35" s="196" customFormat="1" ht="61.5" customHeight="1">
      <c r="B41" s="307"/>
      <c r="C41" s="67"/>
      <c r="D41" s="49"/>
      <c r="E41" s="87"/>
      <c r="F41" s="60"/>
      <c r="G41" s="281">
        <v>0.02</v>
      </c>
      <c r="H41" s="88"/>
      <c r="I41" s="333" t="s">
        <v>133</v>
      </c>
      <c r="J41" s="62"/>
      <c r="K41" s="151">
        <v>0</v>
      </c>
      <c r="L41" s="235">
        <v>0</v>
      </c>
      <c r="M41" s="177" t="s">
        <v>16</v>
      </c>
      <c r="N41" s="178"/>
      <c r="O41" s="151">
        <v>0</v>
      </c>
      <c r="P41" s="98">
        <v>0</v>
      </c>
      <c r="Q41" s="267" t="s">
        <v>16</v>
      </c>
      <c r="R41" s="268"/>
      <c r="S41" s="52">
        <v>0</v>
      </c>
      <c r="T41" s="98">
        <v>0.02</v>
      </c>
      <c r="U41" s="267" t="s">
        <v>16</v>
      </c>
      <c r="V41" s="268"/>
      <c r="W41" s="52">
        <v>0</v>
      </c>
      <c r="X41" s="235">
        <v>0</v>
      </c>
      <c r="Y41" s="267" t="s">
        <v>16</v>
      </c>
      <c r="Z41" s="268"/>
      <c r="AA41" s="52">
        <f t="shared" ref="AA41" si="10">SUM(K41,O41,S41,W41)</f>
        <v>0</v>
      </c>
      <c r="AB41" s="53">
        <f t="shared" ref="AB41" si="11">SUM(L41,P41,T41,X41)</f>
        <v>0.02</v>
      </c>
      <c r="AC41" s="284"/>
      <c r="AD41" s="285">
        <f t="shared" si="7"/>
        <v>0.02</v>
      </c>
      <c r="AE41" s="286"/>
      <c r="AF41" s="90" t="s">
        <v>136</v>
      </c>
      <c r="AG41" s="287"/>
      <c r="AH41" s="87"/>
      <c r="AI41" s="215"/>
    </row>
    <row r="42" spans="2:35" s="21" customFormat="1" ht="8.25" customHeight="1">
      <c r="B42" s="307"/>
      <c r="C42" s="49"/>
      <c r="D42" s="49"/>
      <c r="E42" s="59"/>
      <c r="F42" s="59"/>
      <c r="G42" s="61"/>
      <c r="H42" s="59"/>
      <c r="I42" s="62"/>
      <c r="J42" s="62"/>
      <c r="K42" s="154"/>
      <c r="L42" s="58"/>
      <c r="M42" s="64"/>
      <c r="N42" s="63"/>
      <c r="O42" s="65"/>
      <c r="P42" s="58"/>
      <c r="Q42" s="63"/>
      <c r="R42" s="63"/>
      <c r="S42" s="63"/>
      <c r="T42" s="58"/>
      <c r="U42" s="63"/>
      <c r="V42" s="63"/>
      <c r="W42" s="65"/>
      <c r="X42" s="48"/>
      <c r="Y42" s="63"/>
      <c r="Z42" s="63"/>
      <c r="AA42" s="63"/>
      <c r="AB42" s="58"/>
      <c r="AC42" s="63"/>
      <c r="AD42" s="63"/>
      <c r="AE42" s="63"/>
      <c r="AF42" s="66"/>
      <c r="AG42" s="28"/>
      <c r="AH42" s="35"/>
      <c r="AI42" s="15"/>
    </row>
    <row r="43" spans="2:35" s="47" customFormat="1" ht="27.75" customHeight="1">
      <c r="B43" s="307"/>
      <c r="C43" s="304" t="s">
        <v>13</v>
      </c>
      <c r="D43" s="36"/>
      <c r="E43" s="167"/>
      <c r="F43" s="37"/>
      <c r="G43" s="200">
        <f>G45+G46+G47+G48+G49+G50+G51+G52+G53</f>
        <v>0.3</v>
      </c>
      <c r="H43" s="38"/>
      <c r="I43" s="167"/>
      <c r="J43" s="168"/>
      <c r="K43" s="171">
        <f>SUM(K44:K53)</f>
        <v>5.5000000000000007E-2</v>
      </c>
      <c r="L43" s="100">
        <f>SUM(L44:L53)</f>
        <v>5.5000000000000007E-2</v>
      </c>
      <c r="M43" s="169"/>
      <c r="N43" s="170">
        <f>SUM(N44:N53)</f>
        <v>0</v>
      </c>
      <c r="O43" s="171">
        <f>SUM(O44:O53)</f>
        <v>0</v>
      </c>
      <c r="P43" s="100">
        <f>SUM(P44:P53)</f>
        <v>0.10500000000000001</v>
      </c>
      <c r="Q43" s="169"/>
      <c r="R43" s="170">
        <f>SUM(R44:R53)</f>
        <v>0</v>
      </c>
      <c r="S43" s="171">
        <f>SUM(S44:S53)</f>
        <v>0</v>
      </c>
      <c r="T43" s="100">
        <f>SUM(T44:T53)</f>
        <v>8.5000000000000006E-2</v>
      </c>
      <c r="U43" s="169"/>
      <c r="V43" s="170">
        <f>SUM(V44:V53)</f>
        <v>0</v>
      </c>
      <c r="W43" s="171">
        <f>SUM(W44:W53)</f>
        <v>0</v>
      </c>
      <c r="X43" s="100">
        <f>SUM(X44:X53)</f>
        <v>5.5000000000000007E-2</v>
      </c>
      <c r="Y43" s="169"/>
      <c r="Z43" s="170">
        <f>SUM(Z44:Z53)</f>
        <v>0</v>
      </c>
      <c r="AA43" s="171">
        <f>SUM(AA44:AA53)</f>
        <v>5.5000000000000007E-2</v>
      </c>
      <c r="AB43" s="100">
        <f>SUM(AB44:AB53)</f>
        <v>0.3</v>
      </c>
      <c r="AC43" s="169"/>
      <c r="AD43" s="171">
        <f>SUM(AD44:AD53)</f>
        <v>0.3</v>
      </c>
      <c r="AE43" s="172"/>
      <c r="AF43" s="173"/>
      <c r="AG43" s="44"/>
      <c r="AH43" s="174"/>
      <c r="AI43" s="46"/>
    </row>
    <row r="44" spans="2:35" s="225" customFormat="1" ht="48.75" customHeight="1">
      <c r="B44" s="307"/>
      <c r="C44" s="304"/>
      <c r="D44" s="91"/>
      <c r="E44" s="303" t="s">
        <v>75</v>
      </c>
      <c r="F44" s="99"/>
      <c r="G44" s="199"/>
      <c r="H44" s="222"/>
      <c r="I44" s="89" t="s">
        <v>113</v>
      </c>
      <c r="J44" s="51"/>
      <c r="K44" s="97"/>
      <c r="L44" s="53"/>
      <c r="M44" s="177" t="s">
        <v>16</v>
      </c>
      <c r="N44" s="178"/>
      <c r="O44" s="52"/>
      <c r="P44" s="53"/>
      <c r="Q44" s="267" t="s">
        <v>16</v>
      </c>
      <c r="R44" s="268"/>
      <c r="S44" s="52"/>
      <c r="T44" s="53"/>
      <c r="U44" s="267" t="s">
        <v>16</v>
      </c>
      <c r="V44" s="268"/>
      <c r="W44" s="52"/>
      <c r="X44" s="53"/>
      <c r="Y44" s="267" t="s">
        <v>16</v>
      </c>
      <c r="Z44" s="268"/>
      <c r="AA44" s="52"/>
      <c r="AB44" s="53"/>
      <c r="AC44" s="267" t="s">
        <v>16</v>
      </c>
      <c r="AD44" s="52"/>
      <c r="AE44" s="178"/>
      <c r="AF44" s="89" t="s">
        <v>87</v>
      </c>
      <c r="AG44" s="223"/>
      <c r="AH44" s="17"/>
      <c r="AI44" s="224"/>
    </row>
    <row r="45" spans="2:35" s="225" customFormat="1" ht="43.5" customHeight="1">
      <c r="B45" s="307"/>
      <c r="C45" s="304"/>
      <c r="D45" s="91"/>
      <c r="E45" s="303"/>
      <c r="F45" s="99"/>
      <c r="G45" s="199">
        <v>0.02</v>
      </c>
      <c r="H45" s="222"/>
      <c r="I45" s="89" t="s">
        <v>76</v>
      </c>
      <c r="J45" s="51"/>
      <c r="K45" s="151">
        <v>5.0000000000000001E-3</v>
      </c>
      <c r="L45" s="53">
        <v>5.0000000000000001E-3</v>
      </c>
      <c r="M45" s="177" t="s">
        <v>14</v>
      </c>
      <c r="N45" s="178"/>
      <c r="O45" s="232">
        <v>0</v>
      </c>
      <c r="P45" s="53">
        <v>5.0000000000000001E-3</v>
      </c>
      <c r="Q45" s="267" t="s">
        <v>16</v>
      </c>
      <c r="R45" s="268"/>
      <c r="S45" s="52">
        <v>0</v>
      </c>
      <c r="T45" s="53">
        <v>5.0000000000000001E-3</v>
      </c>
      <c r="U45" s="267" t="s">
        <v>16</v>
      </c>
      <c r="V45" s="268"/>
      <c r="W45" s="52">
        <v>0</v>
      </c>
      <c r="X45" s="53">
        <v>5.0000000000000001E-3</v>
      </c>
      <c r="Y45" s="267"/>
      <c r="Z45" s="268"/>
      <c r="AA45" s="52">
        <f t="shared" ref="AA45:AA50" si="12">SUM(K45,O45,S45,W45)</f>
        <v>5.0000000000000001E-3</v>
      </c>
      <c r="AB45" s="53">
        <f t="shared" ref="AB45:AB53" si="13">G45</f>
        <v>0.02</v>
      </c>
      <c r="AC45" s="267"/>
      <c r="AD45" s="52">
        <f t="shared" ref="AD45:AD52" si="14">G45/1</f>
        <v>0.02</v>
      </c>
      <c r="AE45" s="178"/>
      <c r="AF45" s="89"/>
      <c r="AG45" s="223"/>
      <c r="AH45" s="17"/>
      <c r="AI45" s="224"/>
    </row>
    <row r="46" spans="2:35" s="225" customFormat="1" ht="45" customHeight="1">
      <c r="B46" s="307"/>
      <c r="C46" s="304"/>
      <c r="D46" s="91"/>
      <c r="E46" s="303"/>
      <c r="F46" s="99"/>
      <c r="G46" s="199">
        <v>0.02</v>
      </c>
      <c r="H46" s="222"/>
      <c r="I46" s="89" t="s">
        <v>77</v>
      </c>
      <c r="J46" s="51"/>
      <c r="K46" s="151">
        <v>5.0000000000000001E-3</v>
      </c>
      <c r="L46" s="53">
        <v>5.0000000000000001E-3</v>
      </c>
      <c r="M46" s="177" t="s">
        <v>14</v>
      </c>
      <c r="N46" s="178"/>
      <c r="O46" s="232">
        <v>0</v>
      </c>
      <c r="P46" s="53">
        <v>5.0000000000000001E-3</v>
      </c>
      <c r="Q46" s="267" t="s">
        <v>16</v>
      </c>
      <c r="R46" s="268"/>
      <c r="S46" s="52">
        <v>0</v>
      </c>
      <c r="T46" s="53">
        <v>5.0000000000000001E-3</v>
      </c>
      <c r="U46" s="267" t="s">
        <v>16</v>
      </c>
      <c r="V46" s="268"/>
      <c r="W46" s="52">
        <v>0</v>
      </c>
      <c r="X46" s="53">
        <v>5.0000000000000001E-3</v>
      </c>
      <c r="Y46" s="267"/>
      <c r="Z46" s="268"/>
      <c r="AA46" s="52">
        <f t="shared" si="12"/>
        <v>5.0000000000000001E-3</v>
      </c>
      <c r="AB46" s="53">
        <f t="shared" si="13"/>
        <v>0.02</v>
      </c>
      <c r="AC46" s="267"/>
      <c r="AD46" s="52">
        <f t="shared" si="14"/>
        <v>0.02</v>
      </c>
      <c r="AE46" s="178"/>
      <c r="AF46" s="89"/>
      <c r="AG46" s="223"/>
      <c r="AH46" s="17"/>
      <c r="AI46" s="224"/>
    </row>
    <row r="47" spans="2:35" s="225" customFormat="1" ht="42" customHeight="1">
      <c r="B47" s="307"/>
      <c r="C47" s="304"/>
      <c r="D47" s="91"/>
      <c r="E47" s="303"/>
      <c r="F47" s="99"/>
      <c r="G47" s="199">
        <v>0.02</v>
      </c>
      <c r="H47" s="222"/>
      <c r="I47" s="89" t="s">
        <v>78</v>
      </c>
      <c r="J47" s="51"/>
      <c r="K47" s="151">
        <v>5.0000000000000001E-3</v>
      </c>
      <c r="L47" s="53">
        <v>5.0000000000000001E-3</v>
      </c>
      <c r="M47" s="177" t="s">
        <v>14</v>
      </c>
      <c r="N47" s="178"/>
      <c r="O47" s="232">
        <v>0</v>
      </c>
      <c r="P47" s="53">
        <v>5.0000000000000001E-3</v>
      </c>
      <c r="Q47" s="267" t="s">
        <v>16</v>
      </c>
      <c r="R47" s="268"/>
      <c r="S47" s="52">
        <v>0</v>
      </c>
      <c r="T47" s="53">
        <v>5.0000000000000001E-3</v>
      </c>
      <c r="U47" s="267" t="s">
        <v>16</v>
      </c>
      <c r="V47" s="268"/>
      <c r="W47" s="52">
        <v>0</v>
      </c>
      <c r="X47" s="53">
        <v>5.0000000000000001E-3</v>
      </c>
      <c r="Y47" s="267"/>
      <c r="Z47" s="268"/>
      <c r="AA47" s="52">
        <f t="shared" si="12"/>
        <v>5.0000000000000001E-3</v>
      </c>
      <c r="AB47" s="53">
        <f t="shared" si="13"/>
        <v>0.02</v>
      </c>
      <c r="AC47" s="267"/>
      <c r="AD47" s="52">
        <f t="shared" si="14"/>
        <v>0.02</v>
      </c>
      <c r="AE47" s="178"/>
      <c r="AF47" s="89"/>
      <c r="AG47" s="223"/>
      <c r="AH47" s="17"/>
      <c r="AI47" s="224"/>
    </row>
    <row r="48" spans="2:35" s="225" customFormat="1" ht="39.75" customHeight="1">
      <c r="B48" s="307"/>
      <c r="C48" s="304"/>
      <c r="D48" s="91"/>
      <c r="E48" s="303"/>
      <c r="F48" s="99"/>
      <c r="G48" s="199">
        <v>0.02</v>
      </c>
      <c r="H48" s="222"/>
      <c r="I48" s="89" t="s">
        <v>79</v>
      </c>
      <c r="J48" s="51"/>
      <c r="K48" s="151">
        <v>5.0000000000000001E-3</v>
      </c>
      <c r="L48" s="53">
        <v>5.0000000000000001E-3</v>
      </c>
      <c r="M48" s="177" t="s">
        <v>14</v>
      </c>
      <c r="N48" s="178"/>
      <c r="O48" s="232">
        <v>0</v>
      </c>
      <c r="P48" s="53">
        <v>5.0000000000000001E-3</v>
      </c>
      <c r="Q48" s="267" t="s">
        <v>16</v>
      </c>
      <c r="R48" s="268"/>
      <c r="S48" s="52">
        <v>0</v>
      </c>
      <c r="T48" s="53">
        <v>5.0000000000000001E-3</v>
      </c>
      <c r="U48" s="267" t="s">
        <v>16</v>
      </c>
      <c r="V48" s="268"/>
      <c r="W48" s="52">
        <v>0</v>
      </c>
      <c r="X48" s="53">
        <v>5.0000000000000001E-3</v>
      </c>
      <c r="Y48" s="267"/>
      <c r="Z48" s="268"/>
      <c r="AA48" s="52">
        <f t="shared" si="12"/>
        <v>5.0000000000000001E-3</v>
      </c>
      <c r="AB48" s="53">
        <f t="shared" si="13"/>
        <v>0.02</v>
      </c>
      <c r="AC48" s="267"/>
      <c r="AD48" s="52">
        <f t="shared" si="14"/>
        <v>0.02</v>
      </c>
      <c r="AE48" s="178"/>
      <c r="AF48" s="89"/>
      <c r="AG48" s="223"/>
      <c r="AH48" s="17"/>
      <c r="AI48" s="224"/>
    </row>
    <row r="49" spans="2:35" s="225" customFormat="1" ht="36" customHeight="1">
      <c r="B49" s="307"/>
      <c r="C49" s="304"/>
      <c r="D49" s="91"/>
      <c r="E49" s="188"/>
      <c r="F49" s="99"/>
      <c r="G49" s="199">
        <v>0.02</v>
      </c>
      <c r="H49" s="222"/>
      <c r="I49" s="89" t="s">
        <v>80</v>
      </c>
      <c r="J49" s="51"/>
      <c r="K49" s="151">
        <v>5.0000000000000001E-3</v>
      </c>
      <c r="L49" s="53">
        <v>5.0000000000000001E-3</v>
      </c>
      <c r="M49" s="177" t="s">
        <v>14</v>
      </c>
      <c r="N49" s="178"/>
      <c r="O49" s="232">
        <v>0</v>
      </c>
      <c r="P49" s="53">
        <v>5.0000000000000001E-3</v>
      </c>
      <c r="Q49" s="267" t="s">
        <v>16</v>
      </c>
      <c r="R49" s="268"/>
      <c r="S49" s="52">
        <v>0</v>
      </c>
      <c r="T49" s="53">
        <v>5.0000000000000001E-3</v>
      </c>
      <c r="U49" s="267" t="s">
        <v>16</v>
      </c>
      <c r="V49" s="268"/>
      <c r="W49" s="52">
        <v>0</v>
      </c>
      <c r="X49" s="53">
        <v>5.0000000000000001E-3</v>
      </c>
      <c r="Y49" s="267"/>
      <c r="Z49" s="268"/>
      <c r="AA49" s="52">
        <f t="shared" si="12"/>
        <v>5.0000000000000001E-3</v>
      </c>
      <c r="AB49" s="53">
        <f t="shared" si="13"/>
        <v>0.02</v>
      </c>
      <c r="AC49" s="267"/>
      <c r="AD49" s="52">
        <f t="shared" si="14"/>
        <v>0.02</v>
      </c>
      <c r="AE49" s="178"/>
      <c r="AF49" s="89"/>
      <c r="AG49" s="223"/>
      <c r="AH49" s="17"/>
      <c r="AI49" s="224"/>
    </row>
    <row r="50" spans="2:35" s="231" customFormat="1" ht="60" customHeight="1">
      <c r="B50" s="307"/>
      <c r="C50" s="304"/>
      <c r="D50" s="226"/>
      <c r="E50" s="182"/>
      <c r="F50" s="227"/>
      <c r="G50" s="199">
        <v>0.05</v>
      </c>
      <c r="H50" s="228"/>
      <c r="I50" s="212" t="s">
        <v>134</v>
      </c>
      <c r="J50" s="184"/>
      <c r="K50" s="151">
        <v>1.2500000000000001E-2</v>
      </c>
      <c r="L50" s="235">
        <v>1.2500000000000001E-2</v>
      </c>
      <c r="M50" s="177" t="s">
        <v>14</v>
      </c>
      <c r="N50" s="178"/>
      <c r="O50" s="232">
        <v>0</v>
      </c>
      <c r="P50" s="235">
        <v>1.2500000000000001E-2</v>
      </c>
      <c r="Q50" s="267" t="s">
        <v>16</v>
      </c>
      <c r="R50" s="268"/>
      <c r="S50" s="232">
        <v>0</v>
      </c>
      <c r="T50" s="235">
        <v>1.2500000000000001E-2</v>
      </c>
      <c r="U50" s="267" t="s">
        <v>16</v>
      </c>
      <c r="V50" s="268"/>
      <c r="W50" s="232">
        <v>0</v>
      </c>
      <c r="X50" s="235">
        <v>1.2500000000000001E-2</v>
      </c>
      <c r="Y50" s="267"/>
      <c r="Z50" s="268"/>
      <c r="AA50" s="52">
        <f t="shared" si="12"/>
        <v>1.2500000000000001E-2</v>
      </c>
      <c r="AB50" s="53">
        <f t="shared" si="13"/>
        <v>0.05</v>
      </c>
      <c r="AC50" s="267"/>
      <c r="AD50" s="52">
        <f t="shared" si="14"/>
        <v>0.05</v>
      </c>
      <c r="AE50" s="186"/>
      <c r="AF50" s="212" t="s">
        <v>130</v>
      </c>
      <c r="AG50" s="229"/>
      <c r="AH50" s="187"/>
      <c r="AI50" s="230"/>
    </row>
    <row r="51" spans="2:35" s="225" customFormat="1" ht="48" customHeight="1">
      <c r="B51" s="307"/>
      <c r="C51" s="304"/>
      <c r="D51" s="91"/>
      <c r="E51" s="188"/>
      <c r="F51" s="99"/>
      <c r="G51" s="199">
        <v>7.0000000000000007E-2</v>
      </c>
      <c r="H51" s="222"/>
      <c r="I51" s="212" t="s">
        <v>132</v>
      </c>
      <c r="J51" s="51"/>
      <c r="K51" s="151">
        <v>1.7500000000000002E-2</v>
      </c>
      <c r="L51" s="53">
        <v>1.7500000000000002E-2</v>
      </c>
      <c r="M51" s="177" t="s">
        <v>14</v>
      </c>
      <c r="N51" s="178"/>
      <c r="O51" s="232">
        <v>0</v>
      </c>
      <c r="P51" s="53">
        <v>1.7500000000000002E-2</v>
      </c>
      <c r="Q51" s="267" t="s">
        <v>16</v>
      </c>
      <c r="R51" s="268"/>
      <c r="S51" s="52">
        <v>0</v>
      </c>
      <c r="T51" s="53">
        <v>1.7500000000000002E-2</v>
      </c>
      <c r="U51" s="267"/>
      <c r="V51" s="268"/>
      <c r="W51" s="52">
        <v>0</v>
      </c>
      <c r="X51" s="53">
        <v>1.7500000000000002E-2</v>
      </c>
      <c r="Y51" s="267"/>
      <c r="Z51" s="268"/>
      <c r="AA51" s="52">
        <f>SUM(K51,O51,S51,W51)</f>
        <v>1.7500000000000002E-2</v>
      </c>
      <c r="AB51" s="53">
        <f t="shared" si="13"/>
        <v>7.0000000000000007E-2</v>
      </c>
      <c r="AC51" s="267"/>
      <c r="AD51" s="52">
        <f t="shared" si="14"/>
        <v>7.0000000000000007E-2</v>
      </c>
      <c r="AE51" s="178"/>
      <c r="AF51" s="89" t="s">
        <v>131</v>
      </c>
      <c r="AG51" s="223"/>
      <c r="AH51" s="17"/>
      <c r="AI51" s="224"/>
    </row>
    <row r="52" spans="2:35" s="225" customFormat="1" ht="48" customHeight="1">
      <c r="B52" s="307"/>
      <c r="C52" s="304"/>
      <c r="D52" s="91"/>
      <c r="E52" s="188"/>
      <c r="F52" s="99"/>
      <c r="G52" s="199">
        <v>0.03</v>
      </c>
      <c r="H52" s="222"/>
      <c r="I52" s="334" t="s">
        <v>137</v>
      </c>
      <c r="J52" s="51"/>
      <c r="K52" s="151">
        <v>0</v>
      </c>
      <c r="L52" s="53">
        <v>0</v>
      </c>
      <c r="M52" s="177" t="s">
        <v>16</v>
      </c>
      <c r="N52" s="178"/>
      <c r="O52" s="232">
        <v>0</v>
      </c>
      <c r="P52" s="53">
        <v>0</v>
      </c>
      <c r="Q52" s="267" t="s">
        <v>16</v>
      </c>
      <c r="R52" s="268"/>
      <c r="S52" s="52">
        <v>0</v>
      </c>
      <c r="T52" s="53">
        <v>0.03</v>
      </c>
      <c r="U52" s="267"/>
      <c r="V52" s="268"/>
      <c r="W52" s="52">
        <v>0</v>
      </c>
      <c r="X52" s="53">
        <v>0</v>
      </c>
      <c r="Y52" s="267"/>
      <c r="Z52" s="268"/>
      <c r="AA52" s="52">
        <f>SUM(K52,O52,S52,W52)</f>
        <v>0</v>
      </c>
      <c r="AB52" s="53">
        <f t="shared" ref="AB52" si="15">G52</f>
        <v>0.03</v>
      </c>
      <c r="AC52" s="267"/>
      <c r="AD52" s="52">
        <f t="shared" si="14"/>
        <v>0.03</v>
      </c>
      <c r="AE52" s="178"/>
      <c r="AF52" s="89" t="s">
        <v>129</v>
      </c>
      <c r="AG52" s="223"/>
      <c r="AH52" s="17"/>
      <c r="AI52" s="224"/>
    </row>
    <row r="53" spans="2:35" s="225" customFormat="1" ht="44.25" customHeight="1">
      <c r="B53" s="307"/>
      <c r="C53" s="304"/>
      <c r="D53" s="91"/>
      <c r="E53" s="188"/>
      <c r="F53" s="99"/>
      <c r="G53" s="199">
        <v>0.05</v>
      </c>
      <c r="H53" s="222"/>
      <c r="I53" s="335" t="s">
        <v>138</v>
      </c>
      <c r="J53" s="51"/>
      <c r="K53" s="151">
        <v>0</v>
      </c>
      <c r="L53" s="53">
        <v>0</v>
      </c>
      <c r="M53" s="177" t="s">
        <v>16</v>
      </c>
      <c r="N53" s="178"/>
      <c r="O53" s="232">
        <v>0</v>
      </c>
      <c r="P53" s="53">
        <v>0.05</v>
      </c>
      <c r="Q53" s="267" t="s">
        <v>16</v>
      </c>
      <c r="R53" s="268"/>
      <c r="S53" s="52">
        <v>0</v>
      </c>
      <c r="T53" s="53">
        <v>0</v>
      </c>
      <c r="U53" s="267"/>
      <c r="V53" s="268"/>
      <c r="W53" s="52">
        <v>0</v>
      </c>
      <c r="X53" s="53">
        <v>0</v>
      </c>
      <c r="Y53" s="267"/>
      <c r="Z53" s="268"/>
      <c r="AA53" s="52">
        <f>SUM(K53,O53,S53,W53)</f>
        <v>0</v>
      </c>
      <c r="AB53" s="53">
        <f t="shared" si="13"/>
        <v>0.05</v>
      </c>
      <c r="AC53" s="267"/>
      <c r="AD53" s="52">
        <f t="shared" ref="AD53" si="16">G53/1</f>
        <v>0.05</v>
      </c>
      <c r="AE53" s="178"/>
      <c r="AF53" s="89" t="s">
        <v>119</v>
      </c>
      <c r="AG53" s="223"/>
      <c r="AH53" s="17"/>
      <c r="AI53" s="224"/>
    </row>
    <row r="54" spans="2:35" s="165" customFormat="1" ht="27.75" customHeight="1" thickBot="1">
      <c r="B54" s="308"/>
      <c r="C54" s="155"/>
      <c r="D54" s="155"/>
      <c r="E54" s="155"/>
      <c r="F54" s="155"/>
      <c r="G54" s="236">
        <f>G43+G26+G17+G34</f>
        <v>1</v>
      </c>
      <c r="H54" s="155"/>
      <c r="I54" s="156"/>
      <c r="J54" s="156"/>
      <c r="K54" s="157">
        <f>K43+K26+K17+K34</f>
        <v>0.13426000000000002</v>
      </c>
      <c r="L54" s="158">
        <f>L43+L26+L17+L34</f>
        <v>0.14750000000000002</v>
      </c>
      <c r="M54" s="159"/>
      <c r="N54" s="160" t="e">
        <f>N43+#REF!+N26+N17</f>
        <v>#REF!</v>
      </c>
      <c r="O54" s="161">
        <f>O43+O26+O17+O34</f>
        <v>0</v>
      </c>
      <c r="P54" s="158">
        <f>P43+P26+P17+P34</f>
        <v>0.2225</v>
      </c>
      <c r="Q54" s="159"/>
      <c r="R54" s="160" t="e">
        <f>R43+#REF!+R26+R17</f>
        <v>#REF!</v>
      </c>
      <c r="S54" s="161">
        <f>S43+S26+S17+S34</f>
        <v>0</v>
      </c>
      <c r="T54" s="158">
        <f>T43+T26+T17+T34</f>
        <v>0.2475</v>
      </c>
      <c r="U54" s="159"/>
      <c r="V54" s="160" t="e">
        <f>V43+#REF!+V26+V17</f>
        <v>#REF!</v>
      </c>
      <c r="W54" s="161">
        <f>W43+W26+W17+W34</f>
        <v>0</v>
      </c>
      <c r="X54" s="158">
        <f>X43+X26+X17+X34</f>
        <v>0.38250000000000001</v>
      </c>
      <c r="Y54" s="159"/>
      <c r="Z54" s="160" t="e">
        <f>Z43+#REF!+Z26+Z17</f>
        <v>#REF!</v>
      </c>
      <c r="AA54" s="161">
        <f>AA43+AA26+AA17+AA34</f>
        <v>0.13426000000000002</v>
      </c>
      <c r="AB54" s="158">
        <f>AB43+AB26+AB17+AB34</f>
        <v>1</v>
      </c>
      <c r="AC54" s="162"/>
      <c r="AD54" s="157">
        <f>AD43+AD26+AD17+AD34</f>
        <v>1</v>
      </c>
      <c r="AE54" s="155"/>
      <c r="AF54" s="155"/>
      <c r="AG54" s="163"/>
      <c r="AH54" s="163"/>
      <c r="AI54" s="164"/>
    </row>
    <row r="55" spans="2:35" s="92" customFormat="1" ht="24" customHeight="1">
      <c r="D55" s="93"/>
      <c r="G55" s="201"/>
      <c r="H55" s="93"/>
      <c r="I55" s="94" t="s">
        <v>51</v>
      </c>
      <c r="J55" s="95"/>
      <c r="K55" s="246"/>
      <c r="L55" s="101">
        <f>K54/L54</f>
        <v>0.91023728813559324</v>
      </c>
      <c r="M55" s="94"/>
      <c r="N55" s="94"/>
      <c r="O55" s="273"/>
      <c r="P55" s="101">
        <f>O54/P54</f>
        <v>0</v>
      </c>
      <c r="Q55" s="274"/>
      <c r="R55" s="274"/>
      <c r="S55" s="274"/>
      <c r="T55" s="101">
        <f>S54/T54</f>
        <v>0</v>
      </c>
      <c r="U55" s="274"/>
      <c r="V55" s="274"/>
      <c r="W55" s="273"/>
      <c r="X55" s="166">
        <f>W54/X54</f>
        <v>0</v>
      </c>
      <c r="Y55" s="274"/>
      <c r="Z55" s="274"/>
      <c r="AA55" s="274"/>
      <c r="AB55" s="101">
        <f>AA54/AB54</f>
        <v>0.13426000000000002</v>
      </c>
      <c r="AC55" s="275"/>
      <c r="AD55" s="275"/>
      <c r="AE55" s="93"/>
    </row>
    <row r="58" spans="2:35">
      <c r="W58" s="249" t="s">
        <v>114</v>
      </c>
    </row>
    <row r="60" spans="2:35">
      <c r="P60" s="276"/>
    </row>
  </sheetData>
  <mergeCells count="27">
    <mergeCell ref="E8:Q8"/>
    <mergeCell ref="E10:Q10"/>
    <mergeCell ref="E11:Q11"/>
    <mergeCell ref="K13:Y13"/>
    <mergeCell ref="E9:Q9"/>
    <mergeCell ref="B2:B54"/>
    <mergeCell ref="K14:M14"/>
    <mergeCell ref="C14:C15"/>
    <mergeCell ref="C17:C24"/>
    <mergeCell ref="E14:E15"/>
    <mergeCell ref="C3:AH3"/>
    <mergeCell ref="C43:C53"/>
    <mergeCell ref="S14:U14"/>
    <mergeCell ref="W14:Y14"/>
    <mergeCell ref="AA14:AD14"/>
    <mergeCell ref="G14:G15"/>
    <mergeCell ref="E5:Q5"/>
    <mergeCell ref="E6:Q6"/>
    <mergeCell ref="I14:I15"/>
    <mergeCell ref="AF14:AF15"/>
    <mergeCell ref="E7:Q7"/>
    <mergeCell ref="AH14:AH15"/>
    <mergeCell ref="C26:C33"/>
    <mergeCell ref="E27:E28"/>
    <mergeCell ref="C36:C39"/>
    <mergeCell ref="E44:E48"/>
    <mergeCell ref="O14:Q14"/>
  </mergeCells>
  <phoneticPr fontId="17" type="noConversion"/>
  <conditionalFormatting sqref="M18:M25 Q18:Q25 U18:U25 Y18:Y25 AC18:AC25 M27:M33 Q27:Q33 U27:U33 Y27:Y33 AC27:AC33 M44:M53 Q44:Q53 U44:U53 Y44:Y53 AC44:AC53">
    <cfRule type="containsText" dxfId="7" priority="61" operator="containsText" text="No Data">
      <formula>NOT(ISERROR(SEARCH("No Data",M18)))</formula>
    </cfRule>
    <cfRule type="containsText" dxfId="6" priority="62" operator="containsText" text="Needs Help">
      <formula>NOT(ISERROR(SEARCH("Needs Help",M18)))</formula>
    </cfRule>
    <cfRule type="containsText" dxfId="5" priority="63" operator="containsText" text="Caution">
      <formula>NOT(ISERROR(SEARCH("Caution",M18)))</formula>
    </cfRule>
    <cfRule type="containsText" dxfId="4" priority="64" operator="containsText" text="On Target">
      <formula>NOT(ISERROR(SEARCH("On Target",M18)))</formula>
    </cfRule>
  </conditionalFormatting>
  <conditionalFormatting sqref="M35:M42 Q35:Q42 U35:U42 Y35:Y42 AC35:AC42">
    <cfRule type="containsText" dxfId="3" priority="585" operator="containsText" text="No Data">
      <formula>NOT(ISERROR(SEARCH("No Data",M35)))</formula>
    </cfRule>
    <cfRule type="containsText" dxfId="2" priority="586" operator="containsText" text="Needs Help">
      <formula>NOT(ISERROR(SEARCH("Needs Help",M35)))</formula>
    </cfRule>
    <cfRule type="containsText" dxfId="1" priority="587" operator="containsText" text="Caution">
      <formula>NOT(ISERROR(SEARCH("Caution",M35)))</formula>
    </cfRule>
    <cfRule type="containsText" dxfId="0" priority="588" operator="containsText" text="On Target">
      <formula>NOT(ISERROR(SEARCH("On Target",M35)))</formula>
    </cfRule>
  </conditionalFormatting>
  <dataValidations count="1">
    <dataValidation type="list" allowBlank="1" showInputMessage="1" showErrorMessage="1" sqref="AC35:AC42 AC18:AC25 U44:U53 AC44:AC53 AC27:AC33 Q27:Q33 Y27:Y33 M27:M33 U27:U33 M18:M25 Y44:Y53 Y18:Y25 Q18:Q25 U18:U25 Q44:Q53 M44:M53 Y35:Y42 U35:U42 M35:M42 Q35:Q42" xr:uid="{00000000-0002-0000-0100-000000000000}">
      <formula1>StatusIndicators</formula1>
    </dataValidation>
  </dataValidations>
  <pageMargins left="0.17" right="0" top="0.6692913385826772" bottom="0.74803149606299213" header="0.31496062992125984" footer="0.31496062992125984"/>
  <pageSetup scale="2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E15F-7750-42C4-AE9F-E6BD1099A1E6}">
  <sheetPr>
    <pageSetUpPr fitToPage="1"/>
  </sheetPr>
  <dimension ref="B1:O62"/>
  <sheetViews>
    <sheetView topLeftCell="C30" zoomScale="75" zoomScaleNormal="75" workbookViewId="0">
      <selection activeCell="J44" sqref="J44"/>
    </sheetView>
  </sheetViews>
  <sheetFormatPr defaultColWidth="8.85546875" defaultRowHeight="15"/>
  <cols>
    <col min="4" max="4" width="107.28515625" customWidth="1"/>
    <col min="5" max="5" width="14.7109375" style="143" customWidth="1"/>
    <col min="6" max="6" width="13.28515625" style="145" customWidth="1"/>
    <col min="7" max="7" width="12.28515625" style="143" customWidth="1"/>
    <col min="8" max="8" width="12.28515625" style="145" customWidth="1"/>
    <col min="9" max="9" width="10.7109375" style="143" customWidth="1"/>
    <col min="10" max="10" width="13.42578125" style="146" customWidth="1"/>
    <col min="11" max="11" width="11.7109375" style="147" customWidth="1"/>
    <col min="12" max="12" width="13.42578125" style="146" customWidth="1"/>
    <col min="13" max="13" width="10" style="148" customWidth="1"/>
  </cols>
  <sheetData>
    <row r="1" spans="2:15">
      <c r="C1" s="102"/>
      <c r="D1" s="103"/>
      <c r="E1" s="104"/>
      <c r="F1" s="105"/>
      <c r="G1" s="104"/>
      <c r="H1" s="105"/>
      <c r="I1" s="104"/>
      <c r="J1" s="106"/>
      <c r="K1" s="107"/>
      <c r="L1" s="106"/>
      <c r="M1" s="108"/>
    </row>
    <row r="2" spans="2:15">
      <c r="C2" s="323" t="s">
        <v>88</v>
      </c>
      <c r="D2" s="324"/>
      <c r="E2" s="324"/>
      <c r="F2" s="324"/>
      <c r="G2" s="324"/>
      <c r="H2" s="324"/>
      <c r="I2" s="324"/>
      <c r="J2" s="324"/>
      <c r="K2" s="324"/>
      <c r="L2" s="324"/>
      <c r="M2" s="109"/>
    </row>
    <row r="3" spans="2:15">
      <c r="C3" s="325"/>
      <c r="D3" s="326"/>
      <c r="E3" s="326"/>
      <c r="F3" s="326"/>
      <c r="G3" s="326"/>
      <c r="H3" s="326"/>
      <c r="I3" s="326"/>
      <c r="J3" s="326"/>
      <c r="K3" s="326"/>
      <c r="L3" s="326"/>
      <c r="M3" s="109"/>
    </row>
    <row r="4" spans="2:15" ht="20.100000000000001" customHeight="1">
      <c r="B4" s="110"/>
      <c r="C4" s="111" t="s">
        <v>55</v>
      </c>
      <c r="D4" s="112" t="s">
        <v>56</v>
      </c>
      <c r="E4" s="113" t="s">
        <v>57</v>
      </c>
      <c r="F4" s="327" t="s">
        <v>2</v>
      </c>
      <c r="G4" s="327"/>
      <c r="H4" s="324" t="s">
        <v>3</v>
      </c>
      <c r="I4" s="324"/>
      <c r="J4" s="324" t="s">
        <v>4</v>
      </c>
      <c r="K4" s="324"/>
      <c r="L4" s="324" t="s">
        <v>5</v>
      </c>
      <c r="M4" s="324"/>
    </row>
    <row r="5" spans="2:15" ht="19.5" customHeight="1">
      <c r="B5" s="110"/>
      <c r="C5" s="111"/>
      <c r="D5" s="112"/>
      <c r="E5" s="113"/>
      <c r="F5" s="115" t="s">
        <v>6</v>
      </c>
      <c r="G5" s="114" t="s">
        <v>9</v>
      </c>
      <c r="H5" s="115" t="s">
        <v>6</v>
      </c>
      <c r="I5" s="114" t="s">
        <v>9</v>
      </c>
      <c r="J5" s="115" t="s">
        <v>6</v>
      </c>
      <c r="K5" s="114" t="s">
        <v>9</v>
      </c>
      <c r="L5" s="116" t="s">
        <v>6</v>
      </c>
      <c r="M5" s="117" t="s">
        <v>9</v>
      </c>
    </row>
    <row r="6" spans="2:15" s="148" customFormat="1" ht="20.100000000000001" customHeight="1">
      <c r="B6" s="118"/>
      <c r="C6" s="119">
        <v>1</v>
      </c>
      <c r="D6" s="120" t="s">
        <v>89</v>
      </c>
      <c r="E6" s="121">
        <v>5</v>
      </c>
      <c r="F6" s="122"/>
      <c r="G6" s="121"/>
      <c r="H6" s="122"/>
      <c r="I6" s="121"/>
      <c r="J6" s="122"/>
      <c r="K6" s="121"/>
      <c r="L6" s="122">
        <v>5</v>
      </c>
      <c r="M6" s="118"/>
    </row>
    <row r="7" spans="2:15" s="148" customFormat="1" ht="20.100000000000001" customHeight="1">
      <c r="B7" s="118"/>
      <c r="C7" s="119">
        <v>2</v>
      </c>
      <c r="D7" s="123" t="s">
        <v>90</v>
      </c>
      <c r="E7" s="121">
        <v>5</v>
      </c>
      <c r="F7" s="122">
        <f>E7/4</f>
        <v>1.25</v>
      </c>
      <c r="G7" s="121"/>
      <c r="H7" s="122">
        <v>1.25</v>
      </c>
      <c r="I7" s="121"/>
      <c r="J7" s="122">
        <v>1.25</v>
      </c>
      <c r="K7" s="121"/>
      <c r="L7" s="122">
        <v>1.25</v>
      </c>
      <c r="M7" s="118"/>
    </row>
    <row r="8" spans="2:15" s="148" customFormat="1" ht="20.100000000000001" customHeight="1">
      <c r="B8" s="118"/>
      <c r="C8" s="119">
        <v>3</v>
      </c>
      <c r="D8" s="123" t="s">
        <v>91</v>
      </c>
      <c r="E8" s="121">
        <v>5</v>
      </c>
      <c r="F8" s="122">
        <f>E8/4</f>
        <v>1.25</v>
      </c>
      <c r="G8" s="121"/>
      <c r="H8" s="122">
        <v>1.25</v>
      </c>
      <c r="I8" s="121"/>
      <c r="J8" s="122">
        <v>1.25</v>
      </c>
      <c r="K8" s="121"/>
      <c r="L8" s="122">
        <v>1.25</v>
      </c>
      <c r="M8" s="118"/>
    </row>
    <row r="9" spans="2:15" s="148" customFormat="1" ht="20.100000000000001" customHeight="1">
      <c r="B9" s="118"/>
      <c r="C9" s="119">
        <v>4</v>
      </c>
      <c r="D9" s="123" t="s">
        <v>92</v>
      </c>
      <c r="E9" s="121">
        <v>5</v>
      </c>
      <c r="F9" s="122">
        <f>E9/4</f>
        <v>1.25</v>
      </c>
      <c r="G9" s="121"/>
      <c r="H9" s="122">
        <v>1.25</v>
      </c>
      <c r="I9" s="121"/>
      <c r="J9" s="122">
        <v>1.25</v>
      </c>
      <c r="K9" s="121"/>
      <c r="L9" s="122">
        <v>1.25</v>
      </c>
      <c r="M9" s="118"/>
    </row>
    <row r="10" spans="2:15" s="148" customFormat="1" ht="20.100000000000001" customHeight="1">
      <c r="B10" s="118"/>
      <c r="C10" s="119">
        <v>5</v>
      </c>
      <c r="D10" s="123" t="s">
        <v>93</v>
      </c>
      <c r="E10" s="121">
        <v>5</v>
      </c>
      <c r="F10" s="122">
        <f>E10/4</f>
        <v>1.25</v>
      </c>
      <c r="G10" s="121"/>
      <c r="H10" s="122">
        <v>1.25</v>
      </c>
      <c r="I10" s="121"/>
      <c r="J10" s="122">
        <v>1.25</v>
      </c>
      <c r="K10" s="121"/>
      <c r="L10" s="122">
        <v>1.25</v>
      </c>
      <c r="M10" s="118"/>
    </row>
    <row r="11" spans="2:15" s="148" customFormat="1" ht="20.100000000000001" customHeight="1">
      <c r="B11" s="118"/>
      <c r="C11" s="119">
        <v>6</v>
      </c>
      <c r="D11" s="124" t="s">
        <v>63</v>
      </c>
      <c r="E11" s="121">
        <v>5</v>
      </c>
      <c r="F11" s="122"/>
      <c r="G11" s="121"/>
      <c r="H11" s="122"/>
      <c r="I11" s="121"/>
      <c r="J11" s="122"/>
      <c r="K11" s="121"/>
      <c r="L11" s="122">
        <f>E11</f>
        <v>5</v>
      </c>
      <c r="M11" s="118"/>
    </row>
    <row r="12" spans="2:15" s="148" customFormat="1" ht="19.5" customHeight="1">
      <c r="B12" s="118"/>
      <c r="C12" s="119">
        <v>7</v>
      </c>
      <c r="D12" s="120" t="s">
        <v>64</v>
      </c>
      <c r="E12" s="121">
        <v>5</v>
      </c>
      <c r="F12" s="122"/>
      <c r="G12" s="121"/>
      <c r="H12" s="122"/>
      <c r="I12" s="121"/>
      <c r="J12" s="122"/>
      <c r="K12" s="121"/>
      <c r="L12" s="122">
        <f>E12</f>
        <v>5</v>
      </c>
      <c r="M12" s="118"/>
    </row>
    <row r="13" spans="2:15" s="148" customFormat="1" ht="18.75" customHeight="1">
      <c r="B13" s="118"/>
      <c r="C13" s="119">
        <v>8</v>
      </c>
      <c r="D13" s="120" t="s">
        <v>65</v>
      </c>
      <c r="E13" s="121">
        <v>5</v>
      </c>
      <c r="F13" s="122"/>
      <c r="G13" s="121"/>
      <c r="H13" s="122"/>
      <c r="I13" s="121"/>
      <c r="J13" s="122"/>
      <c r="K13" s="121"/>
      <c r="L13" s="122">
        <v>5</v>
      </c>
      <c r="M13" s="118"/>
    </row>
    <row r="14" spans="2:15" s="148" customFormat="1" ht="22.5" customHeight="1">
      <c r="B14" s="118"/>
      <c r="C14" s="119">
        <v>9</v>
      </c>
      <c r="D14" s="120" t="s">
        <v>66</v>
      </c>
      <c r="E14" s="121">
        <v>5</v>
      </c>
      <c r="F14" s="122">
        <f t="shared" ref="F14:F25" si="0">E14/4</f>
        <v>1.25</v>
      </c>
      <c r="G14" s="121"/>
      <c r="H14" s="122">
        <v>1.25</v>
      </c>
      <c r="I14" s="121"/>
      <c r="J14" s="122">
        <v>1.25</v>
      </c>
      <c r="K14" s="121"/>
      <c r="L14" s="122">
        <v>1.25</v>
      </c>
      <c r="M14" s="118"/>
      <c r="N14" s="149"/>
    </row>
    <row r="15" spans="2:15" s="148" customFormat="1" ht="19.5" customHeight="1">
      <c r="B15" s="118"/>
      <c r="C15" s="119">
        <v>10</v>
      </c>
      <c r="D15" s="125" t="s">
        <v>69</v>
      </c>
      <c r="E15" s="121">
        <v>6</v>
      </c>
      <c r="F15" s="122">
        <f t="shared" si="0"/>
        <v>1.5</v>
      </c>
      <c r="G15" s="121"/>
      <c r="H15" s="122">
        <v>1.5</v>
      </c>
      <c r="I15" s="121"/>
      <c r="J15" s="122">
        <v>1.5</v>
      </c>
      <c r="K15" s="121"/>
      <c r="L15" s="122">
        <v>1.5</v>
      </c>
      <c r="M15" s="118"/>
    </row>
    <row r="16" spans="2:15" s="148" customFormat="1" ht="20.100000000000001" customHeight="1">
      <c r="B16" s="118"/>
      <c r="C16" s="119">
        <v>11</v>
      </c>
      <c r="D16" s="125" t="s">
        <v>94</v>
      </c>
      <c r="E16" s="121">
        <v>5</v>
      </c>
      <c r="F16" s="122">
        <v>5</v>
      </c>
      <c r="G16" s="121"/>
      <c r="H16" s="122"/>
      <c r="I16" s="121"/>
      <c r="J16" s="122"/>
      <c r="K16" s="121"/>
      <c r="L16" s="122"/>
      <c r="M16" s="118"/>
      <c r="O16" s="150">
        <v>20.75</v>
      </c>
    </row>
    <row r="17" spans="2:15" s="148" customFormat="1" ht="20.100000000000001" customHeight="1">
      <c r="B17" s="118"/>
      <c r="C17" s="119">
        <v>12</v>
      </c>
      <c r="D17" s="126" t="s">
        <v>70</v>
      </c>
      <c r="E17" s="121">
        <v>6</v>
      </c>
      <c r="F17" s="122">
        <f t="shared" si="0"/>
        <v>1.5</v>
      </c>
      <c r="G17" s="121"/>
      <c r="H17" s="122">
        <v>1.5</v>
      </c>
      <c r="I17" s="121"/>
      <c r="J17" s="122">
        <v>1.5</v>
      </c>
      <c r="K17" s="121"/>
      <c r="L17" s="122">
        <v>1.5</v>
      </c>
      <c r="M17" s="118"/>
      <c r="O17" s="150">
        <f>15.75*2</f>
        <v>31.5</v>
      </c>
    </row>
    <row r="18" spans="2:15" s="148" customFormat="1" ht="20.100000000000001" customHeight="1">
      <c r="B18" s="118"/>
      <c r="C18" s="119">
        <v>13</v>
      </c>
      <c r="D18" s="126" t="s">
        <v>71</v>
      </c>
      <c r="E18" s="121">
        <v>8</v>
      </c>
      <c r="F18" s="122">
        <f t="shared" si="0"/>
        <v>2</v>
      </c>
      <c r="G18" s="121"/>
      <c r="H18" s="122">
        <v>2</v>
      </c>
      <c r="I18" s="121"/>
      <c r="J18" s="122">
        <v>2</v>
      </c>
      <c r="K18" s="121"/>
      <c r="L18" s="122">
        <v>2</v>
      </c>
      <c r="M18" s="118"/>
      <c r="O18" s="150">
        <v>47.75</v>
      </c>
    </row>
    <row r="19" spans="2:15" s="148" customFormat="1" ht="20.100000000000001" customHeight="1">
      <c r="B19" s="118"/>
      <c r="C19" s="119">
        <v>14</v>
      </c>
      <c r="D19" s="120" t="s">
        <v>95</v>
      </c>
      <c r="E19" s="121">
        <v>1.5</v>
      </c>
      <c r="F19" s="122">
        <f t="shared" si="0"/>
        <v>0.375</v>
      </c>
      <c r="G19" s="121"/>
      <c r="H19" s="122">
        <v>0.375</v>
      </c>
      <c r="I19" s="121"/>
      <c r="J19" s="122">
        <v>0.375</v>
      </c>
      <c r="K19" s="121"/>
      <c r="L19" s="122">
        <v>0.375</v>
      </c>
      <c r="M19" s="118"/>
      <c r="O19" s="150">
        <f>SUM(O16:O18)</f>
        <v>100</v>
      </c>
    </row>
    <row r="20" spans="2:15" s="148" customFormat="1" ht="20.100000000000001" customHeight="1">
      <c r="B20" s="118"/>
      <c r="C20" s="119"/>
      <c r="D20" s="120" t="s">
        <v>96</v>
      </c>
      <c r="E20" s="121">
        <v>1.5</v>
      </c>
      <c r="F20" s="122">
        <f t="shared" si="0"/>
        <v>0.375</v>
      </c>
      <c r="G20" s="121"/>
      <c r="H20" s="122">
        <v>0.375</v>
      </c>
      <c r="I20" s="121"/>
      <c r="J20" s="122">
        <v>0.375</v>
      </c>
      <c r="K20" s="121"/>
      <c r="L20" s="122">
        <v>0.375</v>
      </c>
      <c r="M20" s="118"/>
    </row>
    <row r="21" spans="2:15" s="148" customFormat="1" ht="20.100000000000001" customHeight="1">
      <c r="B21" s="118"/>
      <c r="C21" s="119"/>
      <c r="D21" s="120" t="s">
        <v>97</v>
      </c>
      <c r="E21" s="121">
        <v>1.5</v>
      </c>
      <c r="F21" s="122">
        <f t="shared" si="0"/>
        <v>0.375</v>
      </c>
      <c r="G21" s="121"/>
      <c r="H21" s="122">
        <v>0.375</v>
      </c>
      <c r="I21" s="121"/>
      <c r="J21" s="122">
        <v>0.375</v>
      </c>
      <c r="K21" s="121"/>
      <c r="L21" s="122">
        <v>0.375</v>
      </c>
      <c r="M21" s="118"/>
    </row>
    <row r="22" spans="2:15" s="148" customFormat="1" ht="20.100000000000001" customHeight="1">
      <c r="B22" s="118"/>
      <c r="C22" s="119"/>
      <c r="D22" s="120" t="s">
        <v>98</v>
      </c>
      <c r="E22" s="121">
        <v>1.5</v>
      </c>
      <c r="F22" s="122">
        <f t="shared" si="0"/>
        <v>0.375</v>
      </c>
      <c r="G22" s="121"/>
      <c r="H22" s="122">
        <v>0.375</v>
      </c>
      <c r="I22" s="121"/>
      <c r="J22" s="122">
        <v>0.375</v>
      </c>
      <c r="K22" s="121"/>
      <c r="L22" s="122">
        <v>0.375</v>
      </c>
      <c r="M22" s="118"/>
    </row>
    <row r="23" spans="2:15" s="148" customFormat="1" ht="20.100000000000001" customHeight="1">
      <c r="B23" s="118"/>
      <c r="C23" s="119"/>
      <c r="D23" s="120" t="s">
        <v>99</v>
      </c>
      <c r="E23" s="121">
        <v>1.5</v>
      </c>
      <c r="F23" s="122">
        <f t="shared" si="0"/>
        <v>0.375</v>
      </c>
      <c r="G23" s="121"/>
      <c r="H23" s="122">
        <v>0.375</v>
      </c>
      <c r="I23" s="121"/>
      <c r="J23" s="122">
        <v>0.375</v>
      </c>
      <c r="K23" s="121"/>
      <c r="L23" s="122">
        <v>0.375</v>
      </c>
      <c r="M23" s="118"/>
    </row>
    <row r="24" spans="2:15" s="148" customFormat="1" ht="20.100000000000001" customHeight="1">
      <c r="B24" s="118"/>
      <c r="C24" s="119">
        <v>15</v>
      </c>
      <c r="D24" s="127" t="s">
        <v>81</v>
      </c>
      <c r="E24" s="121">
        <v>2.1</v>
      </c>
      <c r="F24" s="122">
        <f t="shared" si="0"/>
        <v>0.52500000000000002</v>
      </c>
      <c r="G24" s="121"/>
      <c r="H24" s="122">
        <v>0.52500000000000002</v>
      </c>
      <c r="I24" s="121"/>
      <c r="J24" s="122">
        <v>0.52500000000000002</v>
      </c>
      <c r="K24" s="121"/>
      <c r="L24" s="122">
        <v>0.52500000000000002</v>
      </c>
      <c r="M24" s="118"/>
    </row>
    <row r="25" spans="2:15" s="148" customFormat="1" ht="20.100000000000001" customHeight="1">
      <c r="B25" s="118"/>
      <c r="C25" s="119">
        <v>16</v>
      </c>
      <c r="D25" s="127" t="s">
        <v>82</v>
      </c>
      <c r="E25" s="121">
        <v>2.2000000000000002</v>
      </c>
      <c r="F25" s="122">
        <f t="shared" si="0"/>
        <v>0.55000000000000004</v>
      </c>
      <c r="G25" s="121"/>
      <c r="H25" s="122">
        <v>0.55000000000000004</v>
      </c>
      <c r="I25" s="121"/>
      <c r="J25" s="122">
        <v>0.55000000000000004</v>
      </c>
      <c r="K25" s="121"/>
      <c r="L25" s="122">
        <v>0.55000000000000004</v>
      </c>
      <c r="M25" s="118"/>
      <c r="O25" s="149">
        <f>3.5/4</f>
        <v>0.875</v>
      </c>
    </row>
    <row r="26" spans="2:15" s="148" customFormat="1" ht="20.100000000000001" customHeight="1">
      <c r="B26" s="118"/>
      <c r="C26" s="119">
        <v>17</v>
      </c>
      <c r="D26" s="127" t="s">
        <v>83</v>
      </c>
      <c r="E26" s="121">
        <v>2.2000000000000002</v>
      </c>
      <c r="F26" s="122">
        <v>0.55000000000000004</v>
      </c>
      <c r="G26" s="121"/>
      <c r="H26" s="122">
        <v>0.55000000000000004</v>
      </c>
      <c r="I26" s="121"/>
      <c r="J26" s="122">
        <v>0.55000000000000004</v>
      </c>
      <c r="K26" s="121"/>
      <c r="L26" s="122">
        <v>0.55000000000000004</v>
      </c>
      <c r="M26" s="118"/>
    </row>
    <row r="27" spans="2:15" s="148" customFormat="1" ht="20.100000000000001" customHeight="1">
      <c r="B27" s="118"/>
      <c r="C27" s="119">
        <v>18</v>
      </c>
      <c r="D27" s="127" t="s">
        <v>100</v>
      </c>
      <c r="E27" s="121">
        <v>4</v>
      </c>
      <c r="F27" s="122"/>
      <c r="G27" s="121"/>
      <c r="H27" s="122"/>
      <c r="I27" s="121"/>
      <c r="J27" s="122"/>
      <c r="K27" s="121"/>
      <c r="L27" s="122">
        <v>4</v>
      </c>
      <c r="M27" s="118"/>
    </row>
    <row r="28" spans="2:15" s="148" customFormat="1" ht="20.100000000000001" customHeight="1">
      <c r="B28" s="118"/>
      <c r="C28" s="119">
        <v>19</v>
      </c>
      <c r="D28" s="127" t="s">
        <v>84</v>
      </c>
      <c r="E28" s="121">
        <v>4</v>
      </c>
      <c r="F28" s="122"/>
      <c r="G28" s="121"/>
      <c r="H28" s="122"/>
      <c r="I28" s="121"/>
      <c r="J28" s="122"/>
      <c r="K28" s="121"/>
      <c r="L28" s="122">
        <v>4</v>
      </c>
      <c r="M28" s="118"/>
    </row>
    <row r="29" spans="2:15" s="148" customFormat="1" ht="20.100000000000001" customHeight="1">
      <c r="B29" s="118"/>
      <c r="C29" s="119">
        <v>20</v>
      </c>
      <c r="D29" s="127" t="s">
        <v>85</v>
      </c>
      <c r="E29" s="121">
        <v>4</v>
      </c>
      <c r="F29" s="122">
        <v>1</v>
      </c>
      <c r="G29" s="121"/>
      <c r="H29" s="122">
        <v>1</v>
      </c>
      <c r="I29" s="121"/>
      <c r="J29" s="122">
        <v>1</v>
      </c>
      <c r="K29" s="121"/>
      <c r="L29" s="122">
        <v>1</v>
      </c>
      <c r="M29" s="118"/>
    </row>
    <row r="30" spans="2:15" s="148" customFormat="1" ht="20.100000000000001" customHeight="1" thickBot="1">
      <c r="B30" s="128"/>
      <c r="C30" s="119">
        <v>21</v>
      </c>
      <c r="D30" s="129" t="s">
        <v>86</v>
      </c>
      <c r="E30" s="130">
        <v>4</v>
      </c>
      <c r="F30" s="122">
        <f>E30/4</f>
        <v>1</v>
      </c>
      <c r="G30" s="121"/>
      <c r="H30" s="122">
        <v>1</v>
      </c>
      <c r="I30" s="121"/>
      <c r="J30" s="122">
        <v>1</v>
      </c>
      <c r="K30" s="121"/>
      <c r="L30" s="122">
        <v>1</v>
      </c>
      <c r="M30" s="128"/>
    </row>
    <row r="31" spans="2:15" ht="20.100000000000001" customHeight="1" thickBot="1">
      <c r="B31" s="131"/>
      <c r="C31" s="321" t="s">
        <v>58</v>
      </c>
      <c r="D31" s="322"/>
      <c r="E31" s="132">
        <f>SUM(E6:E30)</f>
        <v>100</v>
      </c>
      <c r="F31" s="133">
        <f>SUM(F6:F30)</f>
        <v>21.75</v>
      </c>
      <c r="G31" s="132"/>
      <c r="H31" s="133">
        <f>SUM(H6:H30)</f>
        <v>16.75</v>
      </c>
      <c r="I31" s="132"/>
      <c r="J31" s="133">
        <f>SUM(J6:J30)</f>
        <v>16.75</v>
      </c>
      <c r="K31" s="132"/>
      <c r="L31" s="133">
        <f>SUM(L6:L30)</f>
        <v>44.749999999999993</v>
      </c>
      <c r="M31" s="134"/>
    </row>
    <row r="32" spans="2:15" ht="20.100000000000001" customHeight="1" thickBot="1">
      <c r="B32" s="131"/>
      <c r="C32" s="321" t="s">
        <v>59</v>
      </c>
      <c r="D32" s="322"/>
      <c r="E32" s="132">
        <f>E31</f>
        <v>100</v>
      </c>
      <c r="F32" s="133">
        <f>F31</f>
        <v>21.75</v>
      </c>
      <c r="G32" s="132">
        <f>G31</f>
        <v>0</v>
      </c>
      <c r="H32" s="133">
        <f>F32+H31</f>
        <v>38.5</v>
      </c>
      <c r="I32" s="132">
        <f>I31</f>
        <v>0</v>
      </c>
      <c r="J32" s="133">
        <f>H32+J31</f>
        <v>55.25</v>
      </c>
      <c r="K32" s="132">
        <f>K31</f>
        <v>0</v>
      </c>
      <c r="L32" s="133">
        <f>J32+L31</f>
        <v>100</v>
      </c>
      <c r="M32" s="134"/>
    </row>
    <row r="33" spans="2:13" ht="20.100000000000001" customHeight="1" thickBot="1">
      <c r="B33" s="135"/>
      <c r="C33" s="136"/>
      <c r="D33" s="137"/>
      <c r="E33" s="138" t="s">
        <v>101</v>
      </c>
      <c r="F33" s="139">
        <f>'[1]BSC Nqabile Medi'!J49/F32*100</f>
        <v>0.89425287356321848</v>
      </c>
      <c r="G33" s="138"/>
      <c r="H33" s="140"/>
      <c r="I33" s="138"/>
      <c r="J33" s="140"/>
      <c r="K33" s="138"/>
      <c r="L33" s="140"/>
      <c r="M33" s="141"/>
    </row>
    <row r="34" spans="2:13">
      <c r="C34" s="142"/>
      <c r="F34" s="144">
        <f>'[1]BSC Nqabile Medi'!J49</f>
        <v>0.19450000000000003</v>
      </c>
    </row>
    <row r="35" spans="2:13">
      <c r="C35" s="142"/>
    </row>
    <row r="36" spans="2:13">
      <c r="C36" s="142"/>
      <c r="E36" s="278">
        <f>6/4</f>
        <v>1.5</v>
      </c>
      <c r="F36" s="277">
        <f>7/4</f>
        <v>1.75</v>
      </c>
      <c r="H36" s="145">
        <f>H35/H31*100</f>
        <v>0</v>
      </c>
      <c r="J36" s="145">
        <f>J35/J31*100</f>
        <v>0</v>
      </c>
    </row>
    <row r="37" spans="2:13">
      <c r="C37" s="142"/>
    </row>
    <row r="38" spans="2:13">
      <c r="C38" s="142"/>
      <c r="F38" s="277">
        <f>83/100*0.875</f>
        <v>0.72624999999999995</v>
      </c>
      <c r="G38" s="145">
        <v>14.75</v>
      </c>
    </row>
    <row r="39" spans="2:13">
      <c r="C39" s="142"/>
      <c r="F39" s="145">
        <f>6/4</f>
        <v>1.5</v>
      </c>
      <c r="G39" s="145">
        <v>22.25</v>
      </c>
    </row>
    <row r="40" spans="2:13">
      <c r="C40" s="142"/>
      <c r="F40" s="145">
        <f>80/100*F39</f>
        <v>1.2000000000000002</v>
      </c>
      <c r="G40" s="145">
        <v>24.75</v>
      </c>
    </row>
    <row r="41" spans="2:13">
      <c r="C41" s="142"/>
      <c r="G41" s="145">
        <v>38.25</v>
      </c>
    </row>
    <row r="42" spans="2:13">
      <c r="C42" s="142"/>
      <c r="G42" s="145">
        <f>SUM(G38:G41)</f>
        <v>100</v>
      </c>
    </row>
    <row r="43" spans="2:13">
      <c r="C43" s="142"/>
    </row>
    <row r="44" spans="2:13">
      <c r="C44" s="142"/>
    </row>
    <row r="45" spans="2:13">
      <c r="C45" s="142"/>
    </row>
    <row r="46" spans="2:13">
      <c r="C46" s="142"/>
    </row>
    <row r="47" spans="2:13">
      <c r="C47" s="142"/>
    </row>
    <row r="48" spans="2:13">
      <c r="C48" s="142"/>
    </row>
    <row r="49" spans="3:3">
      <c r="C49" s="142"/>
    </row>
    <row r="50" spans="3:3">
      <c r="C50" s="142"/>
    </row>
    <row r="51" spans="3:3">
      <c r="C51" s="142"/>
    </row>
    <row r="52" spans="3:3">
      <c r="C52" s="142"/>
    </row>
    <row r="53" spans="3:3">
      <c r="C53" s="142"/>
    </row>
    <row r="54" spans="3:3">
      <c r="C54" s="142"/>
    </row>
    <row r="55" spans="3:3">
      <c r="C55" s="142"/>
    </row>
    <row r="56" spans="3:3">
      <c r="C56" s="142"/>
    </row>
    <row r="57" spans="3:3">
      <c r="C57" s="142"/>
    </row>
    <row r="58" spans="3:3">
      <c r="C58" s="142"/>
    </row>
    <row r="59" spans="3:3">
      <c r="C59" s="142"/>
    </row>
    <row r="60" spans="3:3">
      <c r="C60" s="142"/>
    </row>
    <row r="61" spans="3:3">
      <c r="C61" s="142"/>
    </row>
    <row r="62" spans="3:3">
      <c r="C62" s="142"/>
    </row>
  </sheetData>
  <mergeCells count="8">
    <mergeCell ref="C31:D31"/>
    <mergeCell ref="C32:D32"/>
    <mergeCell ref="C2:L2"/>
    <mergeCell ref="C3:L3"/>
    <mergeCell ref="F4:G4"/>
    <mergeCell ref="H4:I4"/>
    <mergeCell ref="J4:K4"/>
    <mergeCell ref="L4:M4"/>
  </mergeCells>
  <pageMargins left="0.70866141732283472" right="0.70866141732283472" top="0.74803149606299213" bottom="0.74803149606299213" header="0.31496062992125984" footer="0.31496062992125984"/>
  <pageSetup paperSize="9" scale="5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Instructions</vt:lpstr>
      <vt:lpstr>Balanced Scorecard</vt:lpstr>
      <vt:lpstr>Tracking index</vt:lpstr>
      <vt:lpstr>ColorStatusIndicators</vt:lpstr>
      <vt:lpstr>'Balanced Scorecard'!Print_Area</vt:lpstr>
      <vt:lpstr>StatusIndicators</vt:lpstr>
      <vt:lpstr>www.fnbusinessconsultants.com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Ted Jackson</dc:creator>
  <cp:lastModifiedBy>Nqabile Medi</cp:lastModifiedBy>
  <cp:lastPrinted>2025-06-05T15:20:51Z</cp:lastPrinted>
  <dcterms:created xsi:type="dcterms:W3CDTF">2015-07-08T18:12:28Z</dcterms:created>
  <dcterms:modified xsi:type="dcterms:W3CDTF">2025-06-05T15:21:54Z</dcterms:modified>
</cp:coreProperties>
</file>